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bookViews>
    <workbookView xWindow="384" yWindow="504" windowWidth="28044" windowHeight="16296"/>
  </bookViews>
  <sheets>
    <sheet name="Delinquency_prediction_dataset" sheetId="1" r:id="rId1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U52" i="1" l="1"/>
  <c r="U53" i="1"/>
  <c r="U54" i="1"/>
  <c r="U55" i="1"/>
  <c r="U56" i="1"/>
  <c r="U57" i="1"/>
  <c r="U58" i="1"/>
  <c r="U59" i="1"/>
  <c r="U60" i="1"/>
  <c r="U61" i="1"/>
  <c r="U62" i="1"/>
  <c r="U63" i="1"/>
  <c r="U64" i="1"/>
  <c r="U65" i="1"/>
  <c r="U66" i="1"/>
  <c r="U67" i="1"/>
  <c r="U68" i="1"/>
  <c r="U69" i="1"/>
  <c r="U70" i="1"/>
  <c r="U71" i="1"/>
  <c r="U72" i="1"/>
  <c r="U73" i="1"/>
  <c r="U74" i="1"/>
  <c r="U75" i="1"/>
  <c r="U76" i="1"/>
  <c r="U77" i="1"/>
  <c r="U78" i="1"/>
  <c r="U79" i="1"/>
  <c r="U80" i="1"/>
  <c r="U81" i="1"/>
  <c r="U82" i="1"/>
  <c r="U83" i="1"/>
  <c r="U84" i="1"/>
  <c r="U85" i="1"/>
  <c r="U86" i="1"/>
  <c r="U87" i="1"/>
  <c r="U88" i="1"/>
  <c r="U89" i="1"/>
  <c r="U90" i="1"/>
  <c r="U91" i="1"/>
  <c r="U92" i="1"/>
  <c r="U93" i="1"/>
  <c r="U94" i="1"/>
  <c r="U95" i="1"/>
  <c r="U96" i="1"/>
  <c r="U97" i="1"/>
  <c r="U98" i="1"/>
  <c r="U99" i="1"/>
  <c r="U100" i="1"/>
  <c r="U101" i="1"/>
  <c r="U102" i="1"/>
  <c r="U103" i="1"/>
  <c r="U104" i="1"/>
  <c r="U105" i="1"/>
  <c r="U106" i="1"/>
  <c r="U107" i="1"/>
  <c r="U108" i="1"/>
  <c r="U109" i="1"/>
  <c r="U110" i="1"/>
  <c r="U111" i="1"/>
  <c r="U112" i="1"/>
  <c r="U113" i="1"/>
  <c r="U114" i="1"/>
  <c r="U115" i="1"/>
  <c r="U116" i="1"/>
  <c r="U117" i="1"/>
  <c r="U118" i="1"/>
  <c r="U119" i="1"/>
  <c r="U120" i="1"/>
  <c r="U121" i="1"/>
  <c r="U122" i="1"/>
  <c r="U123" i="1"/>
  <c r="U124" i="1"/>
  <c r="U125" i="1"/>
  <c r="U126" i="1"/>
  <c r="U127" i="1"/>
  <c r="U128" i="1"/>
  <c r="U129" i="1"/>
  <c r="U130" i="1"/>
  <c r="U131" i="1"/>
  <c r="U132" i="1"/>
  <c r="U133" i="1"/>
  <c r="U134" i="1"/>
  <c r="U135" i="1"/>
  <c r="U136" i="1"/>
  <c r="U137" i="1"/>
  <c r="U138" i="1"/>
  <c r="U139" i="1"/>
  <c r="U140" i="1"/>
  <c r="U141" i="1"/>
  <c r="U142" i="1"/>
  <c r="U143" i="1"/>
  <c r="U144" i="1"/>
  <c r="U145" i="1"/>
  <c r="U146" i="1"/>
  <c r="U147" i="1"/>
  <c r="U148" i="1"/>
  <c r="U149" i="1"/>
  <c r="U150" i="1"/>
  <c r="U151" i="1"/>
  <c r="U152" i="1"/>
  <c r="U153" i="1"/>
  <c r="U154" i="1"/>
  <c r="U155" i="1"/>
  <c r="U156" i="1"/>
  <c r="U157" i="1"/>
  <c r="U158" i="1"/>
  <c r="U159" i="1"/>
  <c r="U160" i="1"/>
  <c r="U161" i="1"/>
  <c r="U162" i="1"/>
  <c r="U163" i="1"/>
  <c r="U164" i="1"/>
  <c r="U165" i="1"/>
  <c r="U166" i="1"/>
  <c r="U167" i="1"/>
  <c r="U168" i="1"/>
  <c r="U169" i="1"/>
  <c r="U170" i="1"/>
  <c r="U171" i="1"/>
  <c r="U172" i="1"/>
  <c r="U173" i="1"/>
  <c r="U174" i="1"/>
  <c r="U175" i="1"/>
  <c r="U176" i="1"/>
  <c r="U177" i="1"/>
  <c r="U178" i="1"/>
  <c r="U179" i="1"/>
  <c r="U180" i="1"/>
  <c r="U181" i="1"/>
  <c r="U182" i="1"/>
  <c r="U183" i="1"/>
  <c r="U184" i="1"/>
  <c r="U185" i="1"/>
  <c r="U186" i="1"/>
  <c r="U187" i="1"/>
  <c r="U188" i="1"/>
  <c r="U189" i="1"/>
  <c r="U190" i="1"/>
  <c r="U191" i="1"/>
  <c r="U192" i="1"/>
  <c r="U193" i="1"/>
  <c r="U194" i="1"/>
  <c r="U195" i="1"/>
  <c r="U196" i="1"/>
  <c r="U197" i="1"/>
  <c r="U198" i="1"/>
  <c r="U199" i="1"/>
  <c r="U200" i="1"/>
  <c r="U201" i="1"/>
  <c r="U202" i="1"/>
  <c r="U203" i="1"/>
  <c r="U204" i="1"/>
  <c r="U205" i="1"/>
  <c r="U206" i="1"/>
  <c r="U207" i="1"/>
  <c r="U208" i="1"/>
  <c r="U209" i="1"/>
  <c r="U210" i="1"/>
  <c r="U211" i="1"/>
  <c r="U212" i="1"/>
  <c r="U213" i="1"/>
  <c r="U214" i="1"/>
  <c r="U215" i="1"/>
  <c r="U216" i="1"/>
  <c r="U217" i="1"/>
  <c r="U218" i="1"/>
  <c r="U219" i="1"/>
  <c r="U220" i="1"/>
  <c r="U221" i="1"/>
  <c r="U222" i="1"/>
  <c r="U223" i="1"/>
  <c r="U224" i="1"/>
  <c r="U225" i="1"/>
  <c r="U226" i="1"/>
  <c r="U227" i="1"/>
  <c r="U228" i="1"/>
  <c r="U229" i="1"/>
  <c r="U230" i="1"/>
  <c r="U231" i="1"/>
  <c r="U232" i="1"/>
  <c r="U233" i="1"/>
  <c r="U234" i="1"/>
  <c r="U235" i="1"/>
  <c r="U236" i="1"/>
  <c r="U237" i="1"/>
  <c r="U238" i="1"/>
  <c r="U239" i="1"/>
  <c r="U240" i="1"/>
  <c r="U241" i="1"/>
  <c r="U242" i="1"/>
  <c r="U243" i="1"/>
  <c r="U244" i="1"/>
  <c r="U245" i="1"/>
  <c r="U246" i="1"/>
  <c r="U247" i="1"/>
  <c r="U248" i="1"/>
  <c r="U249" i="1"/>
  <c r="U250" i="1"/>
  <c r="U251" i="1"/>
  <c r="U252" i="1"/>
  <c r="U253" i="1"/>
  <c r="U254" i="1"/>
  <c r="U255" i="1"/>
  <c r="U256" i="1"/>
  <c r="U257" i="1"/>
  <c r="U258" i="1"/>
  <c r="U259" i="1"/>
  <c r="U260" i="1"/>
  <c r="U261" i="1"/>
  <c r="U262" i="1"/>
  <c r="U263" i="1"/>
  <c r="U264" i="1"/>
  <c r="U265" i="1"/>
  <c r="U266" i="1"/>
  <c r="U267" i="1"/>
  <c r="U268" i="1"/>
  <c r="U269" i="1"/>
  <c r="U270" i="1"/>
  <c r="U271" i="1"/>
  <c r="U272" i="1"/>
  <c r="U273" i="1"/>
  <c r="U274" i="1"/>
  <c r="U275" i="1"/>
  <c r="U276" i="1"/>
  <c r="U277" i="1"/>
  <c r="U278" i="1"/>
  <c r="U279" i="1"/>
  <c r="U280" i="1"/>
  <c r="U281" i="1"/>
  <c r="U282" i="1"/>
  <c r="U283" i="1"/>
  <c r="U284" i="1"/>
  <c r="U285" i="1"/>
  <c r="U286" i="1"/>
  <c r="U287" i="1"/>
  <c r="U288" i="1"/>
  <c r="U289" i="1"/>
  <c r="U290" i="1"/>
  <c r="U291" i="1"/>
  <c r="U292" i="1"/>
  <c r="U293" i="1"/>
  <c r="U294" i="1"/>
  <c r="U295" i="1"/>
  <c r="U296" i="1"/>
  <c r="U297" i="1"/>
  <c r="U298" i="1"/>
  <c r="U299" i="1"/>
  <c r="U300" i="1"/>
  <c r="U301" i="1"/>
  <c r="U302" i="1"/>
  <c r="U303" i="1"/>
  <c r="U304" i="1"/>
  <c r="U305" i="1"/>
  <c r="U306" i="1"/>
  <c r="U307" i="1"/>
  <c r="U308" i="1"/>
  <c r="U309" i="1"/>
  <c r="U310" i="1"/>
  <c r="U311" i="1"/>
  <c r="U312" i="1"/>
  <c r="U313" i="1"/>
  <c r="U314" i="1"/>
  <c r="U315" i="1"/>
  <c r="U316" i="1"/>
  <c r="U317" i="1"/>
  <c r="U318" i="1"/>
  <c r="U319" i="1"/>
  <c r="U320" i="1"/>
  <c r="U321" i="1"/>
  <c r="U322" i="1"/>
  <c r="U323" i="1"/>
  <c r="U324" i="1"/>
  <c r="U325" i="1"/>
  <c r="U326" i="1"/>
  <c r="U327" i="1"/>
  <c r="U328" i="1"/>
  <c r="U329" i="1"/>
  <c r="U330" i="1"/>
  <c r="U331" i="1"/>
  <c r="U332" i="1"/>
  <c r="U333" i="1"/>
  <c r="U334" i="1"/>
  <c r="U335" i="1"/>
  <c r="U336" i="1"/>
  <c r="U337" i="1"/>
  <c r="U338" i="1"/>
  <c r="U339" i="1"/>
  <c r="U340" i="1"/>
  <c r="U341" i="1"/>
  <c r="U342" i="1"/>
  <c r="U343" i="1"/>
  <c r="U344" i="1"/>
  <c r="U345" i="1"/>
  <c r="U346" i="1"/>
  <c r="U347" i="1"/>
  <c r="U348" i="1"/>
  <c r="U349" i="1"/>
  <c r="U350" i="1"/>
  <c r="U351" i="1"/>
  <c r="U352" i="1"/>
  <c r="U353" i="1"/>
  <c r="U354" i="1"/>
  <c r="U355" i="1"/>
  <c r="U356" i="1"/>
  <c r="U357" i="1"/>
  <c r="U358" i="1"/>
  <c r="U359" i="1"/>
  <c r="U360" i="1"/>
  <c r="U361" i="1"/>
  <c r="U362" i="1"/>
  <c r="U363" i="1"/>
  <c r="U364" i="1"/>
  <c r="U365" i="1"/>
  <c r="U366" i="1"/>
  <c r="U367" i="1"/>
  <c r="U368" i="1"/>
  <c r="U369" i="1"/>
  <c r="U370" i="1"/>
  <c r="U371" i="1"/>
  <c r="U372" i="1"/>
  <c r="U373" i="1"/>
  <c r="U374" i="1"/>
  <c r="U375" i="1"/>
  <c r="U376" i="1"/>
  <c r="U377" i="1"/>
  <c r="U378" i="1"/>
  <c r="U379" i="1"/>
  <c r="U380" i="1"/>
  <c r="U381" i="1"/>
  <c r="U382" i="1"/>
  <c r="U383" i="1"/>
  <c r="U384" i="1"/>
  <c r="U385" i="1"/>
  <c r="U386" i="1"/>
  <c r="U387" i="1"/>
  <c r="U388" i="1"/>
  <c r="U389" i="1"/>
  <c r="U390" i="1"/>
  <c r="U391" i="1"/>
  <c r="U392" i="1"/>
  <c r="U393" i="1"/>
  <c r="U394" i="1"/>
  <c r="U395" i="1"/>
  <c r="U396" i="1"/>
  <c r="U397" i="1"/>
  <c r="U398" i="1"/>
  <c r="U399" i="1"/>
  <c r="U400" i="1"/>
  <c r="U401" i="1"/>
  <c r="U402" i="1"/>
  <c r="U403" i="1"/>
  <c r="U404" i="1"/>
  <c r="U405" i="1"/>
  <c r="U406" i="1"/>
  <c r="U407" i="1"/>
  <c r="U408" i="1"/>
  <c r="U409" i="1"/>
  <c r="U410" i="1"/>
  <c r="U411" i="1"/>
  <c r="U412" i="1"/>
  <c r="U413" i="1"/>
  <c r="U414" i="1"/>
  <c r="U415" i="1"/>
  <c r="U416" i="1"/>
  <c r="U417" i="1"/>
  <c r="U418" i="1"/>
  <c r="U419" i="1"/>
  <c r="U420" i="1"/>
  <c r="U421" i="1"/>
  <c r="U422" i="1"/>
  <c r="U423" i="1"/>
  <c r="U424" i="1"/>
  <c r="U425" i="1"/>
  <c r="U426" i="1"/>
  <c r="U427" i="1"/>
  <c r="U428" i="1"/>
  <c r="U429" i="1"/>
  <c r="U430" i="1"/>
  <c r="U431" i="1"/>
  <c r="U432" i="1"/>
  <c r="U433" i="1"/>
  <c r="U434" i="1"/>
  <c r="U435" i="1"/>
  <c r="U436" i="1"/>
  <c r="U437" i="1"/>
  <c r="U438" i="1"/>
  <c r="U439" i="1"/>
  <c r="U440" i="1"/>
  <c r="U441" i="1"/>
  <c r="U442" i="1"/>
  <c r="U443" i="1"/>
  <c r="U444" i="1"/>
  <c r="U445" i="1"/>
  <c r="U446" i="1"/>
  <c r="U447" i="1"/>
  <c r="U448" i="1"/>
  <c r="U449" i="1"/>
  <c r="U450" i="1"/>
  <c r="U451" i="1"/>
  <c r="U452" i="1"/>
  <c r="U453" i="1"/>
  <c r="U454" i="1"/>
  <c r="U455" i="1"/>
  <c r="U456" i="1"/>
  <c r="U457" i="1"/>
  <c r="U458" i="1"/>
  <c r="U459" i="1"/>
  <c r="U460" i="1"/>
  <c r="U461" i="1"/>
  <c r="U462" i="1"/>
  <c r="U463" i="1"/>
  <c r="U464" i="1"/>
  <c r="U465" i="1"/>
  <c r="U466" i="1"/>
  <c r="U467" i="1"/>
  <c r="U468" i="1"/>
  <c r="U469" i="1"/>
  <c r="U470" i="1"/>
  <c r="U471" i="1"/>
  <c r="U472" i="1"/>
  <c r="U473" i="1"/>
  <c r="U474" i="1"/>
  <c r="U475" i="1"/>
  <c r="U476" i="1"/>
  <c r="U477" i="1"/>
  <c r="U478" i="1"/>
  <c r="U479" i="1"/>
  <c r="U480" i="1"/>
  <c r="U481" i="1"/>
  <c r="U482" i="1"/>
  <c r="U483" i="1"/>
  <c r="U484" i="1"/>
  <c r="U485" i="1"/>
  <c r="U486" i="1"/>
  <c r="U487" i="1"/>
  <c r="U488" i="1"/>
  <c r="U489" i="1"/>
  <c r="U490" i="1"/>
  <c r="U491" i="1"/>
  <c r="U492" i="1"/>
  <c r="U493" i="1"/>
  <c r="U494" i="1"/>
  <c r="U495" i="1"/>
  <c r="U496" i="1"/>
  <c r="U497" i="1"/>
  <c r="U498" i="1"/>
  <c r="U499" i="1"/>
  <c r="U500" i="1"/>
  <c r="U501" i="1"/>
  <c r="U3" i="1"/>
  <c r="U4" i="1"/>
  <c r="U5" i="1"/>
  <c r="U6" i="1"/>
  <c r="U7" i="1"/>
  <c r="U8" i="1"/>
  <c r="U9" i="1"/>
  <c r="U10" i="1"/>
  <c r="U11" i="1"/>
  <c r="U12" i="1"/>
  <c r="U13" i="1"/>
  <c r="U14" i="1"/>
  <c r="U15" i="1"/>
  <c r="U16" i="1"/>
  <c r="U17" i="1"/>
  <c r="U18" i="1"/>
  <c r="U19" i="1"/>
  <c r="U20" i="1"/>
  <c r="U21" i="1"/>
  <c r="U22" i="1"/>
  <c r="U23" i="1"/>
  <c r="U24" i="1"/>
  <c r="U25" i="1"/>
  <c r="U26" i="1"/>
  <c r="U27" i="1"/>
  <c r="U28" i="1"/>
  <c r="U29" i="1"/>
  <c r="U30" i="1"/>
  <c r="U31" i="1"/>
  <c r="U32" i="1"/>
  <c r="U33" i="1"/>
  <c r="U34" i="1"/>
  <c r="U35" i="1"/>
  <c r="U36" i="1"/>
  <c r="U37" i="1"/>
  <c r="U38" i="1"/>
  <c r="U39" i="1"/>
  <c r="U40" i="1"/>
  <c r="U41" i="1"/>
  <c r="U42" i="1"/>
  <c r="U43" i="1"/>
  <c r="U44" i="1"/>
  <c r="U45" i="1"/>
  <c r="U46" i="1"/>
  <c r="U47" i="1"/>
  <c r="U48" i="1"/>
  <c r="U49" i="1"/>
  <c r="U50" i="1"/>
  <c r="U51" i="1"/>
  <c r="U2" i="1"/>
  <c r="T3" i="1"/>
  <c r="T4" i="1"/>
  <c r="T5" i="1"/>
  <c r="T6" i="1"/>
  <c r="T7" i="1"/>
  <c r="T8" i="1"/>
  <c r="T9" i="1"/>
  <c r="T10" i="1"/>
  <c r="T11" i="1"/>
  <c r="T12" i="1"/>
  <c r="T13" i="1"/>
  <c r="T14" i="1"/>
  <c r="T15" i="1"/>
  <c r="T16" i="1"/>
  <c r="T17" i="1"/>
  <c r="T18" i="1"/>
  <c r="T19" i="1"/>
  <c r="T20" i="1"/>
  <c r="T21" i="1"/>
  <c r="T22" i="1"/>
  <c r="T23" i="1"/>
  <c r="T24" i="1"/>
  <c r="T25" i="1"/>
  <c r="T26" i="1"/>
  <c r="T27" i="1"/>
  <c r="T28" i="1"/>
  <c r="T29" i="1"/>
  <c r="T30" i="1"/>
  <c r="T31" i="1"/>
  <c r="T32" i="1"/>
  <c r="T33" i="1"/>
  <c r="T34" i="1"/>
  <c r="T35" i="1"/>
  <c r="T36" i="1"/>
  <c r="T37" i="1"/>
  <c r="T38" i="1"/>
  <c r="T39" i="1"/>
  <c r="T40" i="1"/>
  <c r="T41" i="1"/>
  <c r="T42" i="1"/>
  <c r="T43" i="1"/>
  <c r="T44" i="1"/>
  <c r="T45" i="1"/>
  <c r="T46" i="1"/>
  <c r="T47" i="1"/>
  <c r="T48" i="1"/>
  <c r="T49" i="1"/>
  <c r="T50" i="1"/>
  <c r="T51" i="1"/>
  <c r="T52" i="1"/>
  <c r="T53" i="1"/>
  <c r="T54" i="1"/>
  <c r="T55" i="1"/>
  <c r="T56" i="1"/>
  <c r="T57" i="1"/>
  <c r="T58" i="1"/>
  <c r="T59" i="1"/>
  <c r="T60" i="1"/>
  <c r="T61" i="1"/>
  <c r="T62" i="1"/>
  <c r="T63" i="1"/>
  <c r="T64" i="1"/>
  <c r="T65" i="1"/>
  <c r="T66" i="1"/>
  <c r="T67" i="1"/>
  <c r="T68" i="1"/>
  <c r="T69" i="1"/>
  <c r="T70" i="1"/>
  <c r="T71" i="1"/>
  <c r="T72" i="1"/>
  <c r="T73" i="1"/>
  <c r="T74" i="1"/>
  <c r="T75" i="1"/>
  <c r="T76" i="1"/>
  <c r="T77" i="1"/>
  <c r="T78" i="1"/>
  <c r="T79" i="1"/>
  <c r="T80" i="1"/>
  <c r="T81" i="1"/>
  <c r="T82" i="1"/>
  <c r="T83" i="1"/>
  <c r="T84" i="1"/>
  <c r="T85" i="1"/>
  <c r="T86" i="1"/>
  <c r="T87" i="1"/>
  <c r="T88" i="1"/>
  <c r="T89" i="1"/>
  <c r="T90" i="1"/>
  <c r="T91" i="1"/>
  <c r="T92" i="1"/>
  <c r="T93" i="1"/>
  <c r="T94" i="1"/>
  <c r="T95" i="1"/>
  <c r="T96" i="1"/>
  <c r="T97" i="1"/>
  <c r="T98" i="1"/>
  <c r="T99" i="1"/>
  <c r="T100" i="1"/>
  <c r="T101" i="1"/>
  <c r="T102" i="1"/>
  <c r="T103" i="1"/>
  <c r="T104" i="1"/>
  <c r="T105" i="1"/>
  <c r="T106" i="1"/>
  <c r="T107" i="1"/>
  <c r="T108" i="1"/>
  <c r="T109" i="1"/>
  <c r="T110" i="1"/>
  <c r="T111" i="1"/>
  <c r="T112" i="1"/>
  <c r="T113" i="1"/>
  <c r="T114" i="1"/>
  <c r="T115" i="1"/>
  <c r="T116" i="1"/>
  <c r="T117" i="1"/>
  <c r="T118" i="1"/>
  <c r="T119" i="1"/>
  <c r="T120" i="1"/>
  <c r="T121" i="1"/>
  <c r="T122" i="1"/>
  <c r="T123" i="1"/>
  <c r="T124" i="1"/>
  <c r="T125" i="1"/>
  <c r="T126" i="1"/>
  <c r="T127" i="1"/>
  <c r="T128" i="1"/>
  <c r="T129" i="1"/>
  <c r="T130" i="1"/>
  <c r="T131" i="1"/>
  <c r="T132" i="1"/>
  <c r="T133" i="1"/>
  <c r="T134" i="1"/>
  <c r="T135" i="1"/>
  <c r="T136" i="1"/>
  <c r="T137" i="1"/>
  <c r="T138" i="1"/>
  <c r="T139" i="1"/>
  <c r="T140" i="1"/>
  <c r="T141" i="1"/>
  <c r="T142" i="1"/>
  <c r="T143" i="1"/>
  <c r="T144" i="1"/>
  <c r="T145" i="1"/>
  <c r="T146" i="1"/>
  <c r="T147" i="1"/>
  <c r="T148" i="1"/>
  <c r="T149" i="1"/>
  <c r="T150" i="1"/>
  <c r="T151" i="1"/>
  <c r="T152" i="1"/>
  <c r="T153" i="1"/>
  <c r="T154" i="1"/>
  <c r="T155" i="1"/>
  <c r="T156" i="1"/>
  <c r="T157" i="1"/>
  <c r="T158" i="1"/>
  <c r="T159" i="1"/>
  <c r="T160" i="1"/>
  <c r="T161" i="1"/>
  <c r="T162" i="1"/>
  <c r="T163" i="1"/>
  <c r="T164" i="1"/>
  <c r="T165" i="1"/>
  <c r="T166" i="1"/>
  <c r="T167" i="1"/>
  <c r="T168" i="1"/>
  <c r="T169" i="1"/>
  <c r="T170" i="1"/>
  <c r="T171" i="1"/>
  <c r="T172" i="1"/>
  <c r="T173" i="1"/>
  <c r="T174" i="1"/>
  <c r="T175" i="1"/>
  <c r="T176" i="1"/>
  <c r="T177" i="1"/>
  <c r="T178" i="1"/>
  <c r="T179" i="1"/>
  <c r="T180" i="1"/>
  <c r="T181" i="1"/>
  <c r="T182" i="1"/>
  <c r="T183" i="1"/>
  <c r="T184" i="1"/>
  <c r="T185" i="1"/>
  <c r="T186" i="1"/>
  <c r="T187" i="1"/>
  <c r="T188" i="1"/>
  <c r="T189" i="1"/>
  <c r="T190" i="1"/>
  <c r="T191" i="1"/>
  <c r="T192" i="1"/>
  <c r="T193" i="1"/>
  <c r="T194" i="1"/>
  <c r="T195" i="1"/>
  <c r="T196" i="1"/>
  <c r="T197" i="1"/>
  <c r="T198" i="1"/>
  <c r="T199" i="1"/>
  <c r="T200" i="1"/>
  <c r="T201" i="1"/>
  <c r="T202" i="1"/>
  <c r="T203" i="1"/>
  <c r="T204" i="1"/>
  <c r="T205" i="1"/>
  <c r="T206" i="1"/>
  <c r="T207" i="1"/>
  <c r="T208" i="1"/>
  <c r="T209" i="1"/>
  <c r="T210" i="1"/>
  <c r="T211" i="1"/>
  <c r="T212" i="1"/>
  <c r="T213" i="1"/>
  <c r="T214" i="1"/>
  <c r="T215" i="1"/>
  <c r="T216" i="1"/>
  <c r="T217" i="1"/>
  <c r="T218" i="1"/>
  <c r="T219" i="1"/>
  <c r="T220" i="1"/>
  <c r="T221" i="1"/>
  <c r="T222" i="1"/>
  <c r="T223" i="1"/>
  <c r="T224" i="1"/>
  <c r="T225" i="1"/>
  <c r="T226" i="1"/>
  <c r="T227" i="1"/>
  <c r="T228" i="1"/>
  <c r="T229" i="1"/>
  <c r="T230" i="1"/>
  <c r="T231" i="1"/>
  <c r="T232" i="1"/>
  <c r="T233" i="1"/>
  <c r="T234" i="1"/>
  <c r="T235" i="1"/>
  <c r="T236" i="1"/>
  <c r="T237" i="1"/>
  <c r="T238" i="1"/>
  <c r="T239" i="1"/>
  <c r="T240" i="1"/>
  <c r="T241" i="1"/>
  <c r="T242" i="1"/>
  <c r="T243" i="1"/>
  <c r="T244" i="1"/>
  <c r="T245" i="1"/>
  <c r="T246" i="1"/>
  <c r="T247" i="1"/>
  <c r="T248" i="1"/>
  <c r="T249" i="1"/>
  <c r="T250" i="1"/>
  <c r="T251" i="1"/>
  <c r="T252" i="1"/>
  <c r="T253" i="1"/>
  <c r="T254" i="1"/>
  <c r="T255" i="1"/>
  <c r="T256" i="1"/>
  <c r="T257" i="1"/>
  <c r="T258" i="1"/>
  <c r="T259" i="1"/>
  <c r="T260" i="1"/>
  <c r="T261" i="1"/>
  <c r="T262" i="1"/>
  <c r="T263" i="1"/>
  <c r="T264" i="1"/>
  <c r="T265" i="1"/>
  <c r="T266" i="1"/>
  <c r="T267" i="1"/>
  <c r="T268" i="1"/>
  <c r="T269" i="1"/>
  <c r="T270" i="1"/>
  <c r="T271" i="1"/>
  <c r="T272" i="1"/>
  <c r="T273" i="1"/>
  <c r="T274" i="1"/>
  <c r="T275" i="1"/>
  <c r="T276" i="1"/>
  <c r="T277" i="1"/>
  <c r="T278" i="1"/>
  <c r="T279" i="1"/>
  <c r="T280" i="1"/>
  <c r="T281" i="1"/>
  <c r="T282" i="1"/>
  <c r="T283" i="1"/>
  <c r="T284" i="1"/>
  <c r="T285" i="1"/>
  <c r="T286" i="1"/>
  <c r="T287" i="1"/>
  <c r="T288" i="1"/>
  <c r="T289" i="1"/>
  <c r="T290" i="1"/>
  <c r="T291" i="1"/>
  <c r="T292" i="1"/>
  <c r="T293" i="1"/>
  <c r="T294" i="1"/>
  <c r="T295" i="1"/>
  <c r="T296" i="1"/>
  <c r="T297" i="1"/>
  <c r="T298" i="1"/>
  <c r="T299" i="1"/>
  <c r="T300" i="1"/>
  <c r="T301" i="1"/>
  <c r="T302" i="1"/>
  <c r="T303" i="1"/>
  <c r="T304" i="1"/>
  <c r="T305" i="1"/>
  <c r="T306" i="1"/>
  <c r="T307" i="1"/>
  <c r="T308" i="1"/>
  <c r="T309" i="1"/>
  <c r="T310" i="1"/>
  <c r="T311" i="1"/>
  <c r="T312" i="1"/>
  <c r="T313" i="1"/>
  <c r="T314" i="1"/>
  <c r="T315" i="1"/>
  <c r="T316" i="1"/>
  <c r="T317" i="1"/>
  <c r="T318" i="1"/>
  <c r="T319" i="1"/>
  <c r="T320" i="1"/>
  <c r="T321" i="1"/>
  <c r="T322" i="1"/>
  <c r="T323" i="1"/>
  <c r="T324" i="1"/>
  <c r="T325" i="1"/>
  <c r="T326" i="1"/>
  <c r="T327" i="1"/>
  <c r="T328" i="1"/>
  <c r="T329" i="1"/>
  <c r="T330" i="1"/>
  <c r="T331" i="1"/>
  <c r="T332" i="1"/>
  <c r="T333" i="1"/>
  <c r="T334" i="1"/>
  <c r="T335" i="1"/>
  <c r="T336" i="1"/>
  <c r="T337" i="1"/>
  <c r="T338" i="1"/>
  <c r="T339" i="1"/>
  <c r="T340" i="1"/>
  <c r="T341" i="1"/>
  <c r="T342" i="1"/>
  <c r="T343" i="1"/>
  <c r="T344" i="1"/>
  <c r="T345" i="1"/>
  <c r="T346" i="1"/>
  <c r="T347" i="1"/>
  <c r="T348" i="1"/>
  <c r="T349" i="1"/>
  <c r="T350" i="1"/>
  <c r="T351" i="1"/>
  <c r="T352" i="1"/>
  <c r="T353" i="1"/>
  <c r="T354" i="1"/>
  <c r="T355" i="1"/>
  <c r="T356" i="1"/>
  <c r="T357" i="1"/>
  <c r="T358" i="1"/>
  <c r="T359" i="1"/>
  <c r="T360" i="1"/>
  <c r="T361" i="1"/>
  <c r="T362" i="1"/>
  <c r="T363" i="1"/>
  <c r="T364" i="1"/>
  <c r="T365" i="1"/>
  <c r="T366" i="1"/>
  <c r="T367" i="1"/>
  <c r="T368" i="1"/>
  <c r="T369" i="1"/>
  <c r="T370" i="1"/>
  <c r="T371" i="1"/>
  <c r="T372" i="1"/>
  <c r="T373" i="1"/>
  <c r="T374" i="1"/>
  <c r="T375" i="1"/>
  <c r="T376" i="1"/>
  <c r="T377" i="1"/>
  <c r="T378" i="1"/>
  <c r="T379" i="1"/>
  <c r="T380" i="1"/>
  <c r="T381" i="1"/>
  <c r="T382" i="1"/>
  <c r="T383" i="1"/>
  <c r="T384" i="1"/>
  <c r="T385" i="1"/>
  <c r="T386" i="1"/>
  <c r="T387" i="1"/>
  <c r="T388" i="1"/>
  <c r="T389" i="1"/>
  <c r="T390" i="1"/>
  <c r="T391" i="1"/>
  <c r="T392" i="1"/>
  <c r="T393" i="1"/>
  <c r="T394" i="1"/>
  <c r="T395" i="1"/>
  <c r="T396" i="1"/>
  <c r="T397" i="1"/>
  <c r="T398" i="1"/>
  <c r="T399" i="1"/>
  <c r="T400" i="1"/>
  <c r="T401" i="1"/>
  <c r="T402" i="1"/>
  <c r="T403" i="1"/>
  <c r="T404" i="1"/>
  <c r="T405" i="1"/>
  <c r="T406" i="1"/>
  <c r="T407" i="1"/>
  <c r="T408" i="1"/>
  <c r="T409" i="1"/>
  <c r="T410" i="1"/>
  <c r="T411" i="1"/>
  <c r="T412" i="1"/>
  <c r="T413" i="1"/>
  <c r="T414" i="1"/>
  <c r="T415" i="1"/>
  <c r="T416" i="1"/>
  <c r="T417" i="1"/>
  <c r="T418" i="1"/>
  <c r="T419" i="1"/>
  <c r="T420" i="1"/>
  <c r="T421" i="1"/>
  <c r="T422" i="1"/>
  <c r="T423" i="1"/>
  <c r="T424" i="1"/>
  <c r="T425" i="1"/>
  <c r="T426" i="1"/>
  <c r="T427" i="1"/>
  <c r="T428" i="1"/>
  <c r="T429" i="1"/>
  <c r="T430" i="1"/>
  <c r="T431" i="1"/>
  <c r="T432" i="1"/>
  <c r="T433" i="1"/>
  <c r="T434" i="1"/>
  <c r="T435" i="1"/>
  <c r="T436" i="1"/>
  <c r="T437" i="1"/>
  <c r="T438" i="1"/>
  <c r="T439" i="1"/>
  <c r="T440" i="1"/>
  <c r="T441" i="1"/>
  <c r="T442" i="1"/>
  <c r="T443" i="1"/>
  <c r="T444" i="1"/>
  <c r="T445" i="1"/>
  <c r="T446" i="1"/>
  <c r="T447" i="1"/>
  <c r="T448" i="1"/>
  <c r="T449" i="1"/>
  <c r="T450" i="1"/>
  <c r="T451" i="1"/>
  <c r="T452" i="1"/>
  <c r="T453" i="1"/>
  <c r="T454" i="1"/>
  <c r="T455" i="1"/>
  <c r="T456" i="1"/>
  <c r="T457" i="1"/>
  <c r="T458" i="1"/>
  <c r="T459" i="1"/>
  <c r="T460" i="1"/>
  <c r="T461" i="1"/>
  <c r="T462" i="1"/>
  <c r="T463" i="1"/>
  <c r="T464" i="1"/>
  <c r="T465" i="1"/>
  <c r="T466" i="1"/>
  <c r="T467" i="1"/>
  <c r="T468" i="1"/>
  <c r="T469" i="1"/>
  <c r="T470" i="1"/>
  <c r="T471" i="1"/>
  <c r="T472" i="1"/>
  <c r="T473" i="1"/>
  <c r="T474" i="1"/>
  <c r="T475" i="1"/>
  <c r="T476" i="1"/>
  <c r="T477" i="1"/>
  <c r="T478" i="1"/>
  <c r="T479" i="1"/>
  <c r="T480" i="1"/>
  <c r="T481" i="1"/>
  <c r="T482" i="1"/>
  <c r="T483" i="1"/>
  <c r="T484" i="1"/>
  <c r="T485" i="1"/>
  <c r="T486" i="1"/>
  <c r="T487" i="1"/>
  <c r="T488" i="1"/>
  <c r="T489" i="1"/>
  <c r="T490" i="1"/>
  <c r="T491" i="1"/>
  <c r="T492" i="1"/>
  <c r="T493" i="1"/>
  <c r="T494" i="1"/>
  <c r="T495" i="1"/>
  <c r="T496" i="1"/>
  <c r="T497" i="1"/>
  <c r="T498" i="1"/>
  <c r="T499" i="1"/>
  <c r="T500" i="1"/>
  <c r="T501" i="1"/>
  <c r="T2" i="1"/>
</calcChain>
</file>

<file path=xl/sharedStrings.xml><?xml version="1.0" encoding="utf-8"?>
<sst xmlns="http://schemas.openxmlformats.org/spreadsheetml/2006/main" count="5021" uniqueCount="540">
  <si>
    <t>Customer_ID</t>
  </si>
  <si>
    <t>Age</t>
  </si>
  <si>
    <t>Income</t>
  </si>
  <si>
    <t>Credit_Score</t>
  </si>
  <si>
    <t>Credit_Utilization</t>
  </si>
  <si>
    <t>Missed_Payments</t>
  </si>
  <si>
    <t>Delinquent_Account</t>
  </si>
  <si>
    <t>Loan_Balance</t>
  </si>
  <si>
    <t>Debt_to_Income_Ratio</t>
  </si>
  <si>
    <t>Employment_Status</t>
  </si>
  <si>
    <t>Account_Tenure</t>
  </si>
  <si>
    <t>Credit_Card_Type</t>
  </si>
  <si>
    <t>Location</t>
  </si>
  <si>
    <t>Month_1</t>
  </si>
  <si>
    <t>Month_2</t>
  </si>
  <si>
    <t>Month_3</t>
  </si>
  <si>
    <t>Month_4</t>
  </si>
  <si>
    <t>Month_5</t>
  </si>
  <si>
    <t>Month_6</t>
  </si>
  <si>
    <t>CUST0001</t>
  </si>
  <si>
    <t>EMP</t>
  </si>
  <si>
    <t>Student</t>
  </si>
  <si>
    <t>Los Angeles</t>
  </si>
  <si>
    <t>Late</t>
  </si>
  <si>
    <t>Missed</t>
  </si>
  <si>
    <t>CUST0002</t>
  </si>
  <si>
    <t>Self-employed</t>
  </si>
  <si>
    <t>Standard</t>
  </si>
  <si>
    <t>Phoenix</t>
  </si>
  <si>
    <t>On-time</t>
  </si>
  <si>
    <t>CUST0003</t>
  </si>
  <si>
    <t>Platinum</t>
  </si>
  <si>
    <t>Chicago</t>
  </si>
  <si>
    <t>CUST0004</t>
  </si>
  <si>
    <t>Unemployed</t>
  </si>
  <si>
    <t>CUST0005</t>
  </si>
  <si>
    <t>CUST0006</t>
  </si>
  <si>
    <t>Gold</t>
  </si>
  <si>
    <t>New York</t>
  </si>
  <si>
    <t>CUST0007</t>
  </si>
  <si>
    <t>employed</t>
  </si>
  <si>
    <t>CUST0008</t>
  </si>
  <si>
    <t>CUST0009</t>
  </si>
  <si>
    <t>Employed</t>
  </si>
  <si>
    <t>CUST0010</t>
  </si>
  <si>
    <t>Business</t>
  </si>
  <si>
    <t>CUST0011</t>
  </si>
  <si>
    <t>CUST0012</t>
  </si>
  <si>
    <t>CUST0013</t>
  </si>
  <si>
    <t>CUST0014</t>
  </si>
  <si>
    <t>retired</t>
  </si>
  <si>
    <t>CUST0015</t>
  </si>
  <si>
    <t>CUST0016</t>
  </si>
  <si>
    <t>Houston</t>
  </si>
  <si>
    <t>CUST0017</t>
  </si>
  <si>
    <t>CUST0018</t>
  </si>
  <si>
    <t>CUST0019</t>
  </si>
  <si>
    <t>CUST0020</t>
  </si>
  <si>
    <t>CUST0021</t>
  </si>
  <si>
    <t>CUST0022</t>
  </si>
  <si>
    <t>CUST0023</t>
  </si>
  <si>
    <t>CUST0024</t>
  </si>
  <si>
    <t>CUST0025</t>
  </si>
  <si>
    <t>CUST0026</t>
  </si>
  <si>
    <t>CUST0027</t>
  </si>
  <si>
    <t>CUST0028</t>
  </si>
  <si>
    <t>CUST0029</t>
  </si>
  <si>
    <t>CUST0030</t>
  </si>
  <si>
    <t>CUST0031</t>
  </si>
  <si>
    <t>CUST0032</t>
  </si>
  <si>
    <t>CUST0033</t>
  </si>
  <si>
    <t>CUST0034</t>
  </si>
  <si>
    <t>CUST0035</t>
  </si>
  <si>
    <t>CUST0036</t>
  </si>
  <si>
    <t>CUST0037</t>
  </si>
  <si>
    <t>CUST0038</t>
  </si>
  <si>
    <t>CUST0039</t>
  </si>
  <si>
    <t>CUST0040</t>
  </si>
  <si>
    <t>CUST0041</t>
  </si>
  <si>
    <t>CUST0042</t>
  </si>
  <si>
    <t>CUST0043</t>
  </si>
  <si>
    <t>CUST0044</t>
  </si>
  <si>
    <t>CUST0045</t>
  </si>
  <si>
    <t>CUST0046</t>
  </si>
  <si>
    <t>CUST0047</t>
  </si>
  <si>
    <t>CUST0048</t>
  </si>
  <si>
    <t>CUST0049</t>
  </si>
  <si>
    <t>CUST0050</t>
  </si>
  <si>
    <t>CUST0051</t>
  </si>
  <si>
    <t>CUST0052</t>
  </si>
  <si>
    <t>CUST0053</t>
  </si>
  <si>
    <t>CUST0054</t>
  </si>
  <si>
    <t>CUST0055</t>
  </si>
  <si>
    <t>CUST0056</t>
  </si>
  <si>
    <t>CUST0057</t>
  </si>
  <si>
    <t>CUST0058</t>
  </si>
  <si>
    <t>CUST0059</t>
  </si>
  <si>
    <t>CUST0060</t>
  </si>
  <si>
    <t>CUST0061</t>
  </si>
  <si>
    <t>CUST0062</t>
  </si>
  <si>
    <t>CUST0063</t>
  </si>
  <si>
    <t>CUST0064</t>
  </si>
  <si>
    <t>CUST0065</t>
  </si>
  <si>
    <t>CUST0066</t>
  </si>
  <si>
    <t>CUST0067</t>
  </si>
  <si>
    <t>CUST0068</t>
  </si>
  <si>
    <t>CUST0069</t>
  </si>
  <si>
    <t>CUST0070</t>
  </si>
  <si>
    <t>CUST0071</t>
  </si>
  <si>
    <t>CUST0072</t>
  </si>
  <si>
    <t>CUST0073</t>
  </si>
  <si>
    <t>CUST0074</t>
  </si>
  <si>
    <t>CUST0075</t>
  </si>
  <si>
    <t>CUST0076</t>
  </si>
  <si>
    <t>CUST0077</t>
  </si>
  <si>
    <t>CUST0078</t>
  </si>
  <si>
    <t>CUST0079</t>
  </si>
  <si>
    <t>CUST0080</t>
  </si>
  <si>
    <t>CUST0081</t>
  </si>
  <si>
    <t>CUST0082</t>
  </si>
  <si>
    <t>CUST0083</t>
  </si>
  <si>
    <t>CUST0084</t>
  </si>
  <si>
    <t>CUST0085</t>
  </si>
  <si>
    <t>CUST0086</t>
  </si>
  <si>
    <t>CUST0087</t>
  </si>
  <si>
    <t>CUST0088</t>
  </si>
  <si>
    <t>CUST0089</t>
  </si>
  <si>
    <t>CUST0090</t>
  </si>
  <si>
    <t>CUST0091</t>
  </si>
  <si>
    <t>CUST0092</t>
  </si>
  <si>
    <t>CUST0093</t>
  </si>
  <si>
    <t>CUST0094</t>
  </si>
  <si>
    <t>CUST0095</t>
  </si>
  <si>
    <t>CUST0096</t>
  </si>
  <si>
    <t>CUST0097</t>
  </si>
  <si>
    <t>CUST0098</t>
  </si>
  <si>
    <t>CUST0099</t>
  </si>
  <si>
    <t>CUST0100</t>
  </si>
  <si>
    <t>CUST0101</t>
  </si>
  <si>
    <t>CUST0102</t>
  </si>
  <si>
    <t>CUST0103</t>
  </si>
  <si>
    <t>CUST0104</t>
  </si>
  <si>
    <t>CUST0105</t>
  </si>
  <si>
    <t>CUST0106</t>
  </si>
  <si>
    <t>CUST0107</t>
  </si>
  <si>
    <t>CUST0108</t>
  </si>
  <si>
    <t>CUST0109</t>
  </si>
  <si>
    <t>CUST0110</t>
  </si>
  <si>
    <t>CUST0111</t>
  </si>
  <si>
    <t>CUST0112</t>
  </si>
  <si>
    <t>CUST0113</t>
  </si>
  <si>
    <t>CUST0114</t>
  </si>
  <si>
    <t>CUST0115</t>
  </si>
  <si>
    <t>CUST0116</t>
  </si>
  <si>
    <t>CUST0117</t>
  </si>
  <si>
    <t>CUST0118</t>
  </si>
  <si>
    <t>CUST0119</t>
  </si>
  <si>
    <t>CUST0120</t>
  </si>
  <si>
    <t>CUST0121</t>
  </si>
  <si>
    <t>CUST0122</t>
  </si>
  <si>
    <t>CUST0123</t>
  </si>
  <si>
    <t>CUST0124</t>
  </si>
  <si>
    <t>CUST0125</t>
  </si>
  <si>
    <t>CUST0126</t>
  </si>
  <si>
    <t>CUST0127</t>
  </si>
  <si>
    <t>CUST0128</t>
  </si>
  <si>
    <t>CUST0129</t>
  </si>
  <si>
    <t>CUST0130</t>
  </si>
  <si>
    <t>CUST0131</t>
  </si>
  <si>
    <t>CUST0132</t>
  </si>
  <si>
    <t>CUST0133</t>
  </si>
  <si>
    <t>CUST0134</t>
  </si>
  <si>
    <t>CUST0135</t>
  </si>
  <si>
    <t>CUST0136</t>
  </si>
  <si>
    <t>CUST0137</t>
  </si>
  <si>
    <t>CUST0138</t>
  </si>
  <si>
    <t>CUST0139</t>
  </si>
  <si>
    <t>CUST0140</t>
  </si>
  <si>
    <t>CUST0141</t>
  </si>
  <si>
    <t>CUST0142</t>
  </si>
  <si>
    <t>CUST0143</t>
  </si>
  <si>
    <t>CUST0144</t>
  </si>
  <si>
    <t>CUST0145</t>
  </si>
  <si>
    <t>CUST0146</t>
  </si>
  <si>
    <t>CUST0147</t>
  </si>
  <si>
    <t>CUST0148</t>
  </si>
  <si>
    <t>CUST0149</t>
  </si>
  <si>
    <t>CUST0150</t>
  </si>
  <si>
    <t>CUST0151</t>
  </si>
  <si>
    <t>CUST0152</t>
  </si>
  <si>
    <t>CUST0153</t>
  </si>
  <si>
    <t>CUST0154</t>
  </si>
  <si>
    <t>CUST0155</t>
  </si>
  <si>
    <t>CUST0156</t>
  </si>
  <si>
    <t>CUST0157</t>
  </si>
  <si>
    <t>CUST0158</t>
  </si>
  <si>
    <t>CUST0159</t>
  </si>
  <si>
    <t>CUST0160</t>
  </si>
  <si>
    <t>CUST0161</t>
  </si>
  <si>
    <t>CUST0162</t>
  </si>
  <si>
    <t>CUST0163</t>
  </si>
  <si>
    <t>CUST0164</t>
  </si>
  <si>
    <t>CUST0165</t>
  </si>
  <si>
    <t>CUST0166</t>
  </si>
  <si>
    <t>CUST0167</t>
  </si>
  <si>
    <t>CUST0168</t>
  </si>
  <si>
    <t>CUST0169</t>
  </si>
  <si>
    <t>CUST0170</t>
  </si>
  <si>
    <t>CUST0171</t>
  </si>
  <si>
    <t>CUST0172</t>
  </si>
  <si>
    <t>CUST0173</t>
  </si>
  <si>
    <t>CUST0174</t>
  </si>
  <si>
    <t>CUST0175</t>
  </si>
  <si>
    <t>CUST0176</t>
  </si>
  <si>
    <t>CUST0177</t>
  </si>
  <si>
    <t>CUST0178</t>
  </si>
  <si>
    <t>CUST0179</t>
  </si>
  <si>
    <t>CUST0180</t>
  </si>
  <si>
    <t>CUST0181</t>
  </si>
  <si>
    <t>CUST0182</t>
  </si>
  <si>
    <t>CUST0183</t>
  </si>
  <si>
    <t>CUST0184</t>
  </si>
  <si>
    <t>CUST0185</t>
  </si>
  <si>
    <t>CUST0186</t>
  </si>
  <si>
    <t>CUST0187</t>
  </si>
  <si>
    <t>CUST0188</t>
  </si>
  <si>
    <t>CUST0189</t>
  </si>
  <si>
    <t>CUST0190</t>
  </si>
  <si>
    <t>CUST0191</t>
  </si>
  <si>
    <t>CUST0192</t>
  </si>
  <si>
    <t>CUST0193</t>
  </si>
  <si>
    <t>CUST0194</t>
  </si>
  <si>
    <t>CUST0195</t>
  </si>
  <si>
    <t>CUST0196</t>
  </si>
  <si>
    <t>CUST0197</t>
  </si>
  <si>
    <t>CUST0198</t>
  </si>
  <si>
    <t>CUST0199</t>
  </si>
  <si>
    <t>CUST0200</t>
  </si>
  <si>
    <t>CUST0201</t>
  </si>
  <si>
    <t>CUST0202</t>
  </si>
  <si>
    <t>CUST0203</t>
  </si>
  <si>
    <t>CUST0204</t>
  </si>
  <si>
    <t>CUST0205</t>
  </si>
  <si>
    <t>CUST0206</t>
  </si>
  <si>
    <t>CUST0207</t>
  </si>
  <si>
    <t>CUST0208</t>
  </si>
  <si>
    <t>CUST0209</t>
  </si>
  <si>
    <t>CUST0210</t>
  </si>
  <si>
    <t>CUST0211</t>
  </si>
  <si>
    <t>CUST0212</t>
  </si>
  <si>
    <t>CUST0213</t>
  </si>
  <si>
    <t>CUST0214</t>
  </si>
  <si>
    <t>CUST0215</t>
  </si>
  <si>
    <t>CUST0216</t>
  </si>
  <si>
    <t>CUST0217</t>
  </si>
  <si>
    <t>CUST0218</t>
  </si>
  <si>
    <t>CUST0219</t>
  </si>
  <si>
    <t>CUST0220</t>
  </si>
  <si>
    <t>CUST0221</t>
  </si>
  <si>
    <t>CUST0222</t>
  </si>
  <si>
    <t>CUST0223</t>
  </si>
  <si>
    <t>CUST0224</t>
  </si>
  <si>
    <t>CUST0225</t>
  </si>
  <si>
    <t>CUST0226</t>
  </si>
  <si>
    <t>CUST0227</t>
  </si>
  <si>
    <t>CUST0228</t>
  </si>
  <si>
    <t>CUST0229</t>
  </si>
  <si>
    <t>CUST0230</t>
  </si>
  <si>
    <t>CUST0231</t>
  </si>
  <si>
    <t>CUST0232</t>
  </si>
  <si>
    <t>CUST0233</t>
  </si>
  <si>
    <t>CUST0234</t>
  </si>
  <si>
    <t>CUST0235</t>
  </si>
  <si>
    <t>CUST0236</t>
  </si>
  <si>
    <t>CUST0237</t>
  </si>
  <si>
    <t>CUST0238</t>
  </si>
  <si>
    <t>CUST0239</t>
  </si>
  <si>
    <t>CUST0240</t>
  </si>
  <si>
    <t>CUST0241</t>
  </si>
  <si>
    <t>CUST0242</t>
  </si>
  <si>
    <t>CUST0243</t>
  </si>
  <si>
    <t>CUST0244</t>
  </si>
  <si>
    <t>CUST0245</t>
  </si>
  <si>
    <t>CUST0246</t>
  </si>
  <si>
    <t>CUST0247</t>
  </si>
  <si>
    <t>CUST0248</t>
  </si>
  <si>
    <t>CUST0249</t>
  </si>
  <si>
    <t>CUST0250</t>
  </si>
  <si>
    <t>CUST0251</t>
  </si>
  <si>
    <t>CUST0252</t>
  </si>
  <si>
    <t>CUST0253</t>
  </si>
  <si>
    <t>CUST0254</t>
  </si>
  <si>
    <t>CUST0255</t>
  </si>
  <si>
    <t>CUST0256</t>
  </si>
  <si>
    <t>CUST0257</t>
  </si>
  <si>
    <t>CUST0258</t>
  </si>
  <si>
    <t>CUST0259</t>
  </si>
  <si>
    <t>CUST0260</t>
  </si>
  <si>
    <t>CUST0261</t>
  </si>
  <si>
    <t>CUST0262</t>
  </si>
  <si>
    <t>CUST0263</t>
  </si>
  <si>
    <t>CUST0264</t>
  </si>
  <si>
    <t>CUST0265</t>
  </si>
  <si>
    <t>CUST0266</t>
  </si>
  <si>
    <t>CUST0267</t>
  </si>
  <si>
    <t>CUST0268</t>
  </si>
  <si>
    <t>CUST0269</t>
  </si>
  <si>
    <t>CUST0270</t>
  </si>
  <si>
    <t>CUST0271</t>
  </si>
  <si>
    <t>CUST0272</t>
  </si>
  <si>
    <t>CUST0273</t>
  </si>
  <si>
    <t>CUST0274</t>
  </si>
  <si>
    <t>CUST0275</t>
  </si>
  <si>
    <t>CUST0276</t>
  </si>
  <si>
    <t>CUST0277</t>
  </si>
  <si>
    <t>CUST0278</t>
  </si>
  <si>
    <t>CUST0279</t>
  </si>
  <si>
    <t>CUST0280</t>
  </si>
  <si>
    <t>CUST0281</t>
  </si>
  <si>
    <t>CUST0282</t>
  </si>
  <si>
    <t>CUST0283</t>
  </si>
  <si>
    <t>CUST0284</t>
  </si>
  <si>
    <t>CUST0285</t>
  </si>
  <si>
    <t>CUST0286</t>
  </si>
  <si>
    <t>CUST0287</t>
  </si>
  <si>
    <t>CUST0288</t>
  </si>
  <si>
    <t>CUST0289</t>
  </si>
  <si>
    <t>CUST0290</t>
  </si>
  <si>
    <t>CUST0291</t>
  </si>
  <si>
    <t>CUST0292</t>
  </si>
  <si>
    <t>CUST0293</t>
  </si>
  <si>
    <t>CUST0294</t>
  </si>
  <si>
    <t>CUST0295</t>
  </si>
  <si>
    <t>CUST0296</t>
  </si>
  <si>
    <t>CUST0297</t>
  </si>
  <si>
    <t>CUST0298</t>
  </si>
  <si>
    <t>CUST0299</t>
  </si>
  <si>
    <t>CUST0300</t>
  </si>
  <si>
    <t>CUST0301</t>
  </si>
  <si>
    <t>CUST0302</t>
  </si>
  <si>
    <t>CUST0303</t>
  </si>
  <si>
    <t>CUST0304</t>
  </si>
  <si>
    <t>CUST0305</t>
  </si>
  <si>
    <t>CUST0306</t>
  </si>
  <si>
    <t>CUST0307</t>
  </si>
  <si>
    <t>CUST0308</t>
  </si>
  <si>
    <t>CUST0309</t>
  </si>
  <si>
    <t>CUST0310</t>
  </si>
  <si>
    <t>CUST0311</t>
  </si>
  <si>
    <t>CUST0312</t>
  </si>
  <si>
    <t>CUST0313</t>
  </si>
  <si>
    <t>CUST0314</t>
  </si>
  <si>
    <t>CUST0315</t>
  </si>
  <si>
    <t>CUST0316</t>
  </si>
  <si>
    <t>CUST0317</t>
  </si>
  <si>
    <t>CUST0318</t>
  </si>
  <si>
    <t>CUST0319</t>
  </si>
  <si>
    <t>CUST0320</t>
  </si>
  <si>
    <t>CUST0321</t>
  </si>
  <si>
    <t>CUST0322</t>
  </si>
  <si>
    <t>CUST0323</t>
  </si>
  <si>
    <t>CUST0324</t>
  </si>
  <si>
    <t>CUST0325</t>
  </si>
  <si>
    <t>CUST0326</t>
  </si>
  <si>
    <t>CUST0327</t>
  </si>
  <si>
    <t>CUST0328</t>
  </si>
  <si>
    <t>CUST0329</t>
  </si>
  <si>
    <t>CUST0330</t>
  </si>
  <si>
    <t>CUST0331</t>
  </si>
  <si>
    <t>CUST0332</t>
  </si>
  <si>
    <t>CUST0333</t>
  </si>
  <si>
    <t>CUST0334</t>
  </si>
  <si>
    <t>CUST0335</t>
  </si>
  <si>
    <t>CUST0336</t>
  </si>
  <si>
    <t>CUST0337</t>
  </si>
  <si>
    <t>CUST0338</t>
  </si>
  <si>
    <t>CUST0339</t>
  </si>
  <si>
    <t>CUST0340</t>
  </si>
  <si>
    <t>CUST0341</t>
  </si>
  <si>
    <t>CUST0342</t>
  </si>
  <si>
    <t>CUST0343</t>
  </si>
  <si>
    <t>CUST0344</t>
  </si>
  <si>
    <t>CUST0345</t>
  </si>
  <si>
    <t>CUST0346</t>
  </si>
  <si>
    <t>CUST0347</t>
  </si>
  <si>
    <t>CUST0348</t>
  </si>
  <si>
    <t>CUST0349</t>
  </si>
  <si>
    <t>CUST0350</t>
  </si>
  <si>
    <t>CUST0351</t>
  </si>
  <si>
    <t>CUST0352</t>
  </si>
  <si>
    <t>CUST0353</t>
  </si>
  <si>
    <t>CUST0354</t>
  </si>
  <si>
    <t>CUST0355</t>
  </si>
  <si>
    <t>CUST0356</t>
  </si>
  <si>
    <t>CUST0357</t>
  </si>
  <si>
    <t>CUST0358</t>
  </si>
  <si>
    <t>CUST0359</t>
  </si>
  <si>
    <t>CUST0360</t>
  </si>
  <si>
    <t>CUST0361</t>
  </si>
  <si>
    <t>CUST0362</t>
  </si>
  <si>
    <t>CUST0363</t>
  </si>
  <si>
    <t>CUST0364</t>
  </si>
  <si>
    <t>CUST0365</t>
  </si>
  <si>
    <t>CUST0366</t>
  </si>
  <si>
    <t>CUST0367</t>
  </si>
  <si>
    <t>CUST0368</t>
  </si>
  <si>
    <t>CUST0369</t>
  </si>
  <si>
    <t>CUST0370</t>
  </si>
  <si>
    <t>CUST0371</t>
  </si>
  <si>
    <t>CUST0372</t>
  </si>
  <si>
    <t>CUST0373</t>
  </si>
  <si>
    <t>CUST0374</t>
  </si>
  <si>
    <t>CUST0375</t>
  </si>
  <si>
    <t>CUST0376</t>
  </si>
  <si>
    <t>CUST0377</t>
  </si>
  <si>
    <t>CUST0378</t>
  </si>
  <si>
    <t>CUST0379</t>
  </si>
  <si>
    <t>CUST0380</t>
  </si>
  <si>
    <t>CUST0381</t>
  </si>
  <si>
    <t>CUST0382</t>
  </si>
  <si>
    <t>CUST0383</t>
  </si>
  <si>
    <t>CUST0384</t>
  </si>
  <si>
    <t>CUST0385</t>
  </si>
  <si>
    <t>CUST0386</t>
  </si>
  <si>
    <t>CUST0387</t>
  </si>
  <si>
    <t>CUST0388</t>
  </si>
  <si>
    <t>CUST0389</t>
  </si>
  <si>
    <t>CUST0390</t>
  </si>
  <si>
    <t>CUST0391</t>
  </si>
  <si>
    <t>CUST0392</t>
  </si>
  <si>
    <t>CUST0393</t>
  </si>
  <si>
    <t>CUST0394</t>
  </si>
  <si>
    <t>CUST0395</t>
  </si>
  <si>
    <t>CUST0396</t>
  </si>
  <si>
    <t>CUST0397</t>
  </si>
  <si>
    <t>CUST0398</t>
  </si>
  <si>
    <t>CUST0399</t>
  </si>
  <si>
    <t>CUST0400</t>
  </si>
  <si>
    <t>CUST0401</t>
  </si>
  <si>
    <t>CUST0402</t>
  </si>
  <si>
    <t>CUST0403</t>
  </si>
  <si>
    <t>CUST0404</t>
  </si>
  <si>
    <t>CUST0405</t>
  </si>
  <si>
    <t>CUST0406</t>
  </si>
  <si>
    <t>CUST0407</t>
  </si>
  <si>
    <t>CUST0408</t>
  </si>
  <si>
    <t>CUST0409</t>
  </si>
  <si>
    <t>CUST0410</t>
  </si>
  <si>
    <t>CUST0411</t>
  </si>
  <si>
    <t>CUST0412</t>
  </si>
  <si>
    <t>CUST0413</t>
  </si>
  <si>
    <t>CUST0414</t>
  </si>
  <si>
    <t>CUST0415</t>
  </si>
  <si>
    <t>CUST0416</t>
  </si>
  <si>
    <t>CUST0417</t>
  </si>
  <si>
    <t>CUST0418</t>
  </si>
  <si>
    <t>CUST0419</t>
  </si>
  <si>
    <t>CUST0420</t>
  </si>
  <si>
    <t>CUST0421</t>
  </si>
  <si>
    <t>CUST0422</t>
  </si>
  <si>
    <t>CUST0423</t>
  </si>
  <si>
    <t>CUST0424</t>
  </si>
  <si>
    <t>CUST0425</t>
  </si>
  <si>
    <t>CUST0426</t>
  </si>
  <si>
    <t>CUST0427</t>
  </si>
  <si>
    <t>CUST0428</t>
  </si>
  <si>
    <t>CUST0429</t>
  </si>
  <si>
    <t>CUST0430</t>
  </si>
  <si>
    <t>CUST0431</t>
  </si>
  <si>
    <t>CUST0432</t>
  </si>
  <si>
    <t>CUST0433</t>
  </si>
  <si>
    <t>CUST0434</t>
  </si>
  <si>
    <t>CUST0435</t>
  </si>
  <si>
    <t>CUST0436</t>
  </si>
  <si>
    <t>CUST0437</t>
  </si>
  <si>
    <t>CUST0438</t>
  </si>
  <si>
    <t>CUST0439</t>
  </si>
  <si>
    <t>CUST0440</t>
  </si>
  <si>
    <t>CUST0441</t>
  </si>
  <si>
    <t>CUST0442</t>
  </si>
  <si>
    <t>CUST0443</t>
  </si>
  <si>
    <t>CUST0444</t>
  </si>
  <si>
    <t>CUST0445</t>
  </si>
  <si>
    <t>CUST0446</t>
  </si>
  <si>
    <t>CUST0447</t>
  </si>
  <si>
    <t>CUST0448</t>
  </si>
  <si>
    <t>CUST0449</t>
  </si>
  <si>
    <t>CUST0450</t>
  </si>
  <si>
    <t>CUST0451</t>
  </si>
  <si>
    <t>CUST0452</t>
  </si>
  <si>
    <t>CUST0453</t>
  </si>
  <si>
    <t>CUST0454</t>
  </si>
  <si>
    <t>CUST0455</t>
  </si>
  <si>
    <t>CUST0456</t>
  </si>
  <si>
    <t>CUST0457</t>
  </si>
  <si>
    <t>CUST0458</t>
  </si>
  <si>
    <t>CUST0459</t>
  </si>
  <si>
    <t>CUST0460</t>
  </si>
  <si>
    <t>CUST0461</t>
  </si>
  <si>
    <t>CUST0462</t>
  </si>
  <si>
    <t>CUST0463</t>
  </si>
  <si>
    <t>CUST0464</t>
  </si>
  <si>
    <t>CUST0465</t>
  </si>
  <si>
    <t>CUST0466</t>
  </si>
  <si>
    <t>CUST0467</t>
  </si>
  <si>
    <t>CUST0468</t>
  </si>
  <si>
    <t>CUST0469</t>
  </si>
  <si>
    <t>CUST0470</t>
  </si>
  <si>
    <t>CUST0471</t>
  </si>
  <si>
    <t>CUST0472</t>
  </si>
  <si>
    <t>CUST0473</t>
  </si>
  <si>
    <t>CUST0474</t>
  </si>
  <si>
    <t>CUST0475</t>
  </si>
  <si>
    <t>CUST0476</t>
  </si>
  <si>
    <t>CUST0477</t>
  </si>
  <si>
    <t>CUST0478</t>
  </si>
  <si>
    <t>CUST0479</t>
  </si>
  <si>
    <t>CUST0480</t>
  </si>
  <si>
    <t>CUST0481</t>
  </si>
  <si>
    <t>CUST0482</t>
  </si>
  <si>
    <t>CUST0483</t>
  </si>
  <si>
    <t>CUST0484</t>
  </si>
  <si>
    <t>CUST0485</t>
  </si>
  <si>
    <t>CUST0486</t>
  </si>
  <si>
    <t>CUST0487</t>
  </si>
  <si>
    <t>CUST0488</t>
  </si>
  <si>
    <t>CUST0489</t>
  </si>
  <si>
    <t>CUST0490</t>
  </si>
  <si>
    <t>CUST0491</t>
  </si>
  <si>
    <t>CUST0492</t>
  </si>
  <si>
    <t>CUST0493</t>
  </si>
  <si>
    <t>CUST0494</t>
  </si>
  <si>
    <t>CUST0495</t>
  </si>
  <si>
    <t>CUST0496</t>
  </si>
  <si>
    <t>CUST0497</t>
  </si>
  <si>
    <t>CUST0498</t>
  </si>
  <si>
    <t>CUST0499</t>
  </si>
  <si>
    <t>CUST0500</t>
  </si>
  <si>
    <t>Risk_Level</t>
  </si>
  <si>
    <t>Payment_Behaviour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</si>
</sst>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501"/>
  <sheetViews>
    <sheetView tabSelected="1" topLeftCell="H475" workbookViewId="0">
      <selection activeCell="V499" sqref="V499"/>
    </sheetView>
  </sheetViews>
  <sheetFormatPr defaultColWidth="10.90625" defaultRowHeight="15"/>
  <cols>
    <col min="21" max="21" width="16.7265625" bestFit="1" customWidth="1"/>
  </cols>
  <sheetData>
    <row r="1" spans="1:2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538</v>
      </c>
      <c r="U1" t="s">
        <v>539</v>
      </c>
    </row>
    <row r="2" spans="1:21">
      <c r="A2" t="s">
        <v>19</v>
      </c>
      <c r="B2">
        <v>56</v>
      </c>
      <c r="C2">
        <v>165580</v>
      </c>
      <c r="D2">
        <v>398</v>
      </c>
      <c r="E2">
        <v>0.39050192860023702</v>
      </c>
      <c r="F2">
        <v>3</v>
      </c>
      <c r="G2">
        <v>0</v>
      </c>
      <c r="H2">
        <v>16310</v>
      </c>
      <c r="I2">
        <v>0.31739611496857001</v>
      </c>
      <c r="J2" t="s">
        <v>20</v>
      </c>
      <c r="K2">
        <v>18</v>
      </c>
      <c r="L2" t="s">
        <v>21</v>
      </c>
      <c r="M2" t="s">
        <v>22</v>
      </c>
      <c r="N2" t="s">
        <v>23</v>
      </c>
      <c r="O2" t="s">
        <v>23</v>
      </c>
      <c r="P2" t="s">
        <v>24</v>
      </c>
      <c r="Q2" t="s">
        <v>23</v>
      </c>
      <c r="R2" t="s">
        <v>24</v>
      </c>
      <c r="S2" t="s">
        <v>23</v>
      </c>
      <c r="T2" t="str">
        <f>IF(G2=1,"High risk", IF(F2&gt;= 2, "Medium risk", "low risk"))</f>
        <v>Medium risk</v>
      </c>
      <c r="U2" t="str">
        <f>IF(COUNTIF(N2:S2,"Missed") &gt;= 3, "poor", IF(COUNTIF(N2:S2,"Missed") &gt;= 1, "average", "good"))</f>
        <v>average</v>
      </c>
    </row>
    <row r="3" spans="1:21">
      <c r="A3" t="s">
        <v>25</v>
      </c>
      <c r="B3">
        <v>69</v>
      </c>
      <c r="C3">
        <v>100999</v>
      </c>
      <c r="D3">
        <v>493</v>
      </c>
      <c r="E3">
        <v>0.31244403322601699</v>
      </c>
      <c r="F3">
        <v>6</v>
      </c>
      <c r="G3">
        <v>1</v>
      </c>
      <c r="H3">
        <v>17401</v>
      </c>
      <c r="I3">
        <v>0.196092643360821</v>
      </c>
      <c r="J3" t="s">
        <v>26</v>
      </c>
      <c r="K3">
        <v>0</v>
      </c>
      <c r="L3" t="s">
        <v>27</v>
      </c>
      <c r="M3" t="s">
        <v>28</v>
      </c>
      <c r="N3" t="s">
        <v>24</v>
      </c>
      <c r="O3" t="s">
        <v>24</v>
      </c>
      <c r="P3" t="s">
        <v>23</v>
      </c>
      <c r="Q3" t="s">
        <v>24</v>
      </c>
      <c r="R3" t="s">
        <v>29</v>
      </c>
      <c r="S3" t="s">
        <v>29</v>
      </c>
      <c r="T3" t="str">
        <f t="shared" ref="T3:T66" si="0">IF(G3=1,"High risk", IF(F3&gt;= 2, "Medium risk", "low risk"))</f>
        <v>High risk</v>
      </c>
      <c r="U3" t="str">
        <f t="shared" ref="U3:U66" si="1">IF(COUNTIF(N3:S3,"Missed") &gt;= 3, "poor", IF(COUNTIF(N3:S3,"Missed") &gt;= 1, "average", "good"))</f>
        <v>poor</v>
      </c>
    </row>
    <row r="4" spans="1:21">
      <c r="A4" t="s">
        <v>30</v>
      </c>
      <c r="B4">
        <v>46</v>
      </c>
      <c r="C4">
        <v>188416</v>
      </c>
      <c r="D4">
        <v>500</v>
      </c>
      <c r="E4">
        <v>0.359930238508409</v>
      </c>
      <c r="F4">
        <v>0</v>
      </c>
      <c r="G4">
        <v>0</v>
      </c>
      <c r="H4">
        <v>13761</v>
      </c>
      <c r="I4">
        <v>0.30165493989091102</v>
      </c>
      <c r="J4" t="s">
        <v>26</v>
      </c>
      <c r="K4">
        <v>1</v>
      </c>
      <c r="L4" t="s">
        <v>31</v>
      </c>
      <c r="M4" t="s">
        <v>32</v>
      </c>
      <c r="N4" t="s">
        <v>24</v>
      </c>
      <c r="O4" t="s">
        <v>23</v>
      </c>
      <c r="P4" t="s">
        <v>23</v>
      </c>
      <c r="Q4" t="s">
        <v>29</v>
      </c>
      <c r="R4" t="s">
        <v>24</v>
      </c>
      <c r="S4" t="s">
        <v>23</v>
      </c>
      <c r="T4" t="str">
        <f t="shared" si="0"/>
        <v>low risk</v>
      </c>
      <c r="U4" t="str">
        <f t="shared" si="1"/>
        <v>average</v>
      </c>
    </row>
    <row r="5" spans="1:21">
      <c r="A5" t="s">
        <v>33</v>
      </c>
      <c r="B5">
        <v>32</v>
      </c>
      <c r="C5">
        <v>101672</v>
      </c>
      <c r="D5">
        <v>413</v>
      </c>
      <c r="E5">
        <v>0.37140035530382398</v>
      </c>
      <c r="F5">
        <v>3</v>
      </c>
      <c r="G5">
        <v>0</v>
      </c>
      <c r="H5">
        <v>88778</v>
      </c>
      <c r="I5">
        <v>0.26479443922880602</v>
      </c>
      <c r="J5" t="s">
        <v>34</v>
      </c>
      <c r="K5">
        <v>15</v>
      </c>
      <c r="L5" t="s">
        <v>31</v>
      </c>
      <c r="M5" t="s">
        <v>28</v>
      </c>
      <c r="N5" t="s">
        <v>23</v>
      </c>
      <c r="O5" t="s">
        <v>24</v>
      </c>
      <c r="P5" t="s">
        <v>23</v>
      </c>
      <c r="Q5" t="s">
        <v>24</v>
      </c>
      <c r="R5" t="s">
        <v>23</v>
      </c>
      <c r="S5" t="s">
        <v>23</v>
      </c>
      <c r="T5" t="str">
        <f t="shared" si="0"/>
        <v>Medium risk</v>
      </c>
      <c r="U5" t="str">
        <f t="shared" si="1"/>
        <v>average</v>
      </c>
    </row>
    <row r="6" spans="1:21">
      <c r="A6" t="s">
        <v>35</v>
      </c>
      <c r="B6">
        <v>60</v>
      </c>
      <c r="C6">
        <v>38524</v>
      </c>
      <c r="D6">
        <v>487</v>
      </c>
      <c r="E6">
        <v>0.23471586262820099</v>
      </c>
      <c r="F6">
        <v>2</v>
      </c>
      <c r="G6">
        <v>0</v>
      </c>
      <c r="H6">
        <v>13316</v>
      </c>
      <c r="I6">
        <v>0.51058348253484798</v>
      </c>
      <c r="J6" t="s">
        <v>26</v>
      </c>
      <c r="K6">
        <v>11</v>
      </c>
      <c r="L6" t="s">
        <v>27</v>
      </c>
      <c r="M6" t="s">
        <v>28</v>
      </c>
      <c r="N6" t="s">
        <v>24</v>
      </c>
      <c r="O6" t="s">
        <v>29</v>
      </c>
      <c r="P6" t="s">
        <v>24</v>
      </c>
      <c r="Q6" t="s">
        <v>23</v>
      </c>
      <c r="R6" t="s">
        <v>23</v>
      </c>
      <c r="S6" t="s">
        <v>23</v>
      </c>
      <c r="T6" t="str">
        <f t="shared" si="0"/>
        <v>Medium risk</v>
      </c>
      <c r="U6" t="str">
        <f t="shared" si="1"/>
        <v>average</v>
      </c>
    </row>
    <row r="7" spans="1:21">
      <c r="A7" t="s">
        <v>36</v>
      </c>
      <c r="B7">
        <v>25</v>
      </c>
      <c r="C7">
        <v>84042</v>
      </c>
      <c r="D7">
        <v>700</v>
      </c>
      <c r="E7">
        <v>0.65054042971452497</v>
      </c>
      <c r="F7">
        <v>6</v>
      </c>
      <c r="G7">
        <v>0</v>
      </c>
      <c r="H7">
        <v>48361</v>
      </c>
      <c r="I7">
        <v>0.26068788108000901</v>
      </c>
      <c r="J7" t="s">
        <v>34</v>
      </c>
      <c r="K7">
        <v>7</v>
      </c>
      <c r="L7" t="s">
        <v>37</v>
      </c>
      <c r="M7" t="s">
        <v>38</v>
      </c>
      <c r="N7" t="s">
        <v>29</v>
      </c>
      <c r="O7" t="s">
        <v>23</v>
      </c>
      <c r="P7" t="s">
        <v>24</v>
      </c>
      <c r="Q7" t="s">
        <v>24</v>
      </c>
      <c r="R7" t="s">
        <v>24</v>
      </c>
      <c r="S7" t="s">
        <v>23</v>
      </c>
      <c r="T7" t="str">
        <f t="shared" si="0"/>
        <v>Medium risk</v>
      </c>
      <c r="U7" t="str">
        <f t="shared" si="1"/>
        <v>poor</v>
      </c>
    </row>
    <row r="8" spans="1:21">
      <c r="A8" t="s">
        <v>39</v>
      </c>
      <c r="B8">
        <v>38</v>
      </c>
      <c r="C8">
        <v>35056</v>
      </c>
      <c r="D8">
        <v>354</v>
      </c>
      <c r="E8">
        <v>0.39058094052257902</v>
      </c>
      <c r="F8">
        <v>3</v>
      </c>
      <c r="G8">
        <v>0</v>
      </c>
      <c r="H8">
        <v>4638</v>
      </c>
      <c r="I8">
        <v>0.48426513728833398</v>
      </c>
      <c r="J8" t="s">
        <v>40</v>
      </c>
      <c r="K8">
        <v>17</v>
      </c>
      <c r="L8" t="s">
        <v>31</v>
      </c>
      <c r="M8" t="s">
        <v>38</v>
      </c>
      <c r="N8" t="s">
        <v>29</v>
      </c>
      <c r="O8" t="s">
        <v>24</v>
      </c>
      <c r="P8" t="s">
        <v>24</v>
      </c>
      <c r="Q8" t="s">
        <v>23</v>
      </c>
      <c r="R8" t="s">
        <v>24</v>
      </c>
      <c r="S8" t="s">
        <v>23</v>
      </c>
      <c r="T8" t="str">
        <f t="shared" si="0"/>
        <v>Medium risk</v>
      </c>
      <c r="U8" t="str">
        <f t="shared" si="1"/>
        <v>poor</v>
      </c>
    </row>
    <row r="9" spans="1:21">
      <c r="A9" t="s">
        <v>41</v>
      </c>
      <c r="B9">
        <v>56</v>
      </c>
      <c r="C9">
        <v>123215</v>
      </c>
      <c r="D9">
        <v>415</v>
      </c>
      <c r="E9">
        <v>0.53271466711773097</v>
      </c>
      <c r="F9">
        <v>5</v>
      </c>
      <c r="G9">
        <v>0</v>
      </c>
      <c r="H9">
        <v>55776</v>
      </c>
      <c r="I9">
        <v>0.35869522911833701</v>
      </c>
      <c r="J9" t="s">
        <v>20</v>
      </c>
      <c r="K9">
        <v>1</v>
      </c>
      <c r="L9" t="s">
        <v>21</v>
      </c>
      <c r="M9" t="s">
        <v>38</v>
      </c>
      <c r="N9" t="s">
        <v>29</v>
      </c>
      <c r="O9" t="s">
        <v>29</v>
      </c>
      <c r="P9" t="s">
        <v>29</v>
      </c>
      <c r="Q9" t="s">
        <v>23</v>
      </c>
      <c r="R9" t="s">
        <v>24</v>
      </c>
      <c r="S9" t="s">
        <v>23</v>
      </c>
      <c r="T9" t="str">
        <f t="shared" si="0"/>
        <v>Medium risk</v>
      </c>
      <c r="U9" t="str">
        <f t="shared" si="1"/>
        <v>average</v>
      </c>
    </row>
    <row r="10" spans="1:21">
      <c r="A10" t="s">
        <v>42</v>
      </c>
      <c r="B10">
        <v>36</v>
      </c>
      <c r="C10">
        <v>66991</v>
      </c>
      <c r="D10">
        <v>405</v>
      </c>
      <c r="E10">
        <v>0.41303484761795101</v>
      </c>
      <c r="F10">
        <v>5</v>
      </c>
      <c r="G10">
        <v>1</v>
      </c>
      <c r="I10">
        <v>0.21985410292702701</v>
      </c>
      <c r="J10" t="s">
        <v>43</v>
      </c>
      <c r="K10">
        <v>12</v>
      </c>
      <c r="L10" t="s">
        <v>21</v>
      </c>
      <c r="M10" t="s">
        <v>28</v>
      </c>
      <c r="N10" t="s">
        <v>29</v>
      </c>
      <c r="O10" t="s">
        <v>29</v>
      </c>
      <c r="P10" t="s">
        <v>29</v>
      </c>
      <c r="Q10" t="s">
        <v>24</v>
      </c>
      <c r="R10" t="s">
        <v>23</v>
      </c>
      <c r="S10" t="s">
        <v>29</v>
      </c>
      <c r="T10" t="str">
        <f t="shared" si="0"/>
        <v>High risk</v>
      </c>
      <c r="U10" t="str">
        <f t="shared" si="1"/>
        <v>average</v>
      </c>
    </row>
    <row r="11" spans="1:21">
      <c r="A11" t="s">
        <v>44</v>
      </c>
      <c r="B11">
        <v>40</v>
      </c>
      <c r="C11">
        <v>34870</v>
      </c>
      <c r="D11">
        <v>679</v>
      </c>
      <c r="E11">
        <v>0.361823917542758</v>
      </c>
      <c r="F11">
        <v>4</v>
      </c>
      <c r="G11">
        <v>0</v>
      </c>
      <c r="H11">
        <v>93922</v>
      </c>
      <c r="I11">
        <v>0.33308109252597501</v>
      </c>
      <c r="J11" t="s">
        <v>20</v>
      </c>
      <c r="K11">
        <v>5</v>
      </c>
      <c r="L11" t="s">
        <v>45</v>
      </c>
      <c r="M11" t="s">
        <v>22</v>
      </c>
      <c r="N11" t="s">
        <v>29</v>
      </c>
      <c r="O11" t="s">
        <v>24</v>
      </c>
      <c r="P11" t="s">
        <v>24</v>
      </c>
      <c r="Q11" t="s">
        <v>29</v>
      </c>
      <c r="R11" t="s">
        <v>24</v>
      </c>
      <c r="S11" t="s">
        <v>24</v>
      </c>
      <c r="T11" t="str">
        <f t="shared" si="0"/>
        <v>Medium risk</v>
      </c>
      <c r="U11" t="str">
        <f t="shared" si="1"/>
        <v>poor</v>
      </c>
    </row>
    <row r="12" spans="1:21">
      <c r="A12" t="s">
        <v>46</v>
      </c>
      <c r="B12">
        <v>28</v>
      </c>
      <c r="C12">
        <v>42532</v>
      </c>
      <c r="D12">
        <v>340</v>
      </c>
      <c r="E12">
        <v>0.83445584721736998</v>
      </c>
      <c r="F12">
        <v>4</v>
      </c>
      <c r="G12">
        <v>0</v>
      </c>
      <c r="H12">
        <v>82909</v>
      </c>
      <c r="I12">
        <v>0.26955902536621801</v>
      </c>
      <c r="J12" t="s">
        <v>34</v>
      </c>
      <c r="K12">
        <v>5</v>
      </c>
      <c r="L12" t="s">
        <v>21</v>
      </c>
      <c r="M12" t="s">
        <v>32</v>
      </c>
      <c r="N12" t="s">
        <v>29</v>
      </c>
      <c r="O12" t="s">
        <v>23</v>
      </c>
      <c r="P12" t="s">
        <v>24</v>
      </c>
      <c r="Q12" t="s">
        <v>24</v>
      </c>
      <c r="R12" t="s">
        <v>29</v>
      </c>
      <c r="S12" t="s">
        <v>23</v>
      </c>
      <c r="T12" t="str">
        <f t="shared" si="0"/>
        <v>Medium risk</v>
      </c>
      <c r="U12" t="str">
        <f t="shared" si="1"/>
        <v>average</v>
      </c>
    </row>
    <row r="13" spans="1:21">
      <c r="A13" t="s">
        <v>47</v>
      </c>
      <c r="B13">
        <v>28</v>
      </c>
      <c r="C13">
        <v>70479</v>
      </c>
      <c r="D13">
        <v>679</v>
      </c>
      <c r="E13">
        <v>0.684586436441881</v>
      </c>
      <c r="F13">
        <v>3</v>
      </c>
      <c r="G13">
        <v>0</v>
      </c>
      <c r="H13">
        <v>75777</v>
      </c>
      <c r="I13">
        <v>0.32421574907412298</v>
      </c>
      <c r="J13" t="s">
        <v>34</v>
      </c>
      <c r="K13">
        <v>8</v>
      </c>
      <c r="L13" t="s">
        <v>45</v>
      </c>
      <c r="M13" t="s">
        <v>32</v>
      </c>
      <c r="N13" t="s">
        <v>29</v>
      </c>
      <c r="O13" t="s">
        <v>24</v>
      </c>
      <c r="P13" t="s">
        <v>24</v>
      </c>
      <c r="Q13" t="s">
        <v>23</v>
      </c>
      <c r="R13" t="s">
        <v>29</v>
      </c>
      <c r="S13" t="s">
        <v>23</v>
      </c>
      <c r="T13" t="str">
        <f t="shared" si="0"/>
        <v>Medium risk</v>
      </c>
      <c r="U13" t="str">
        <f t="shared" si="1"/>
        <v>average</v>
      </c>
    </row>
    <row r="14" spans="1:21">
      <c r="A14" t="s">
        <v>48</v>
      </c>
      <c r="B14">
        <v>41</v>
      </c>
      <c r="C14">
        <v>56975</v>
      </c>
      <c r="D14">
        <v>320</v>
      </c>
      <c r="E14">
        <v>0.12635992000897101</v>
      </c>
      <c r="F14">
        <v>0</v>
      </c>
      <c r="G14">
        <v>0</v>
      </c>
      <c r="H14">
        <v>15171</v>
      </c>
      <c r="I14">
        <v>0.22861090125667299</v>
      </c>
      <c r="J14" t="s">
        <v>20</v>
      </c>
      <c r="K14">
        <v>15</v>
      </c>
      <c r="L14" t="s">
        <v>27</v>
      </c>
      <c r="M14" t="s">
        <v>22</v>
      </c>
      <c r="N14" t="s">
        <v>23</v>
      </c>
      <c r="O14" t="s">
        <v>23</v>
      </c>
      <c r="P14" t="s">
        <v>24</v>
      </c>
      <c r="Q14" t="s">
        <v>23</v>
      </c>
      <c r="R14" t="s">
        <v>29</v>
      </c>
      <c r="S14" t="s">
        <v>29</v>
      </c>
      <c r="T14" t="str">
        <f t="shared" si="0"/>
        <v>low risk</v>
      </c>
      <c r="U14" t="str">
        <f t="shared" si="1"/>
        <v>average</v>
      </c>
    </row>
    <row r="15" spans="1:21">
      <c r="A15" t="s">
        <v>49</v>
      </c>
      <c r="B15">
        <v>70</v>
      </c>
      <c r="C15">
        <v>117023</v>
      </c>
      <c r="D15">
        <v>528</v>
      </c>
      <c r="E15">
        <v>0.105172510332822</v>
      </c>
      <c r="F15">
        <v>5</v>
      </c>
      <c r="G15">
        <v>0</v>
      </c>
      <c r="H15">
        <v>95136</v>
      </c>
      <c r="I15">
        <v>0.46901776333459499</v>
      </c>
      <c r="J15" t="s">
        <v>50</v>
      </c>
      <c r="K15">
        <v>10</v>
      </c>
      <c r="L15" t="s">
        <v>27</v>
      </c>
      <c r="M15" t="s">
        <v>22</v>
      </c>
      <c r="N15" t="s">
        <v>29</v>
      </c>
      <c r="O15" t="s">
        <v>24</v>
      </c>
      <c r="P15" t="s">
        <v>24</v>
      </c>
      <c r="Q15" t="s">
        <v>24</v>
      </c>
      <c r="R15" t="s">
        <v>29</v>
      </c>
      <c r="S15" t="s">
        <v>29</v>
      </c>
      <c r="T15" t="str">
        <f t="shared" si="0"/>
        <v>Medium risk</v>
      </c>
      <c r="U15" t="str">
        <f t="shared" si="1"/>
        <v>poor</v>
      </c>
    </row>
    <row r="16" spans="1:21">
      <c r="A16" t="s">
        <v>51</v>
      </c>
      <c r="B16">
        <v>53</v>
      </c>
      <c r="C16">
        <v>143148</v>
      </c>
      <c r="D16">
        <v>617</v>
      </c>
      <c r="E16">
        <v>0.70852176712729698</v>
      </c>
      <c r="F16">
        <v>0</v>
      </c>
      <c r="G16">
        <v>0</v>
      </c>
      <c r="H16">
        <v>2593</v>
      </c>
      <c r="I16">
        <v>0.39253980907967201</v>
      </c>
      <c r="J16" t="s">
        <v>34</v>
      </c>
      <c r="K16">
        <v>6</v>
      </c>
      <c r="L16" t="s">
        <v>27</v>
      </c>
      <c r="M16" t="s">
        <v>32</v>
      </c>
      <c r="N16" t="s">
        <v>23</v>
      </c>
      <c r="O16" t="s">
        <v>24</v>
      </c>
      <c r="P16" t="s">
        <v>23</v>
      </c>
      <c r="Q16" t="s">
        <v>23</v>
      </c>
      <c r="R16" t="s">
        <v>23</v>
      </c>
      <c r="S16" t="s">
        <v>23</v>
      </c>
      <c r="T16" t="str">
        <f t="shared" si="0"/>
        <v>low risk</v>
      </c>
      <c r="U16" t="str">
        <f t="shared" si="1"/>
        <v>average</v>
      </c>
    </row>
    <row r="17" spans="1:21">
      <c r="A17" t="s">
        <v>52</v>
      </c>
      <c r="B17">
        <v>57</v>
      </c>
      <c r="C17">
        <v>159356</v>
      </c>
      <c r="D17">
        <v>601</v>
      </c>
      <c r="E17">
        <v>0.39602932169024901</v>
      </c>
      <c r="F17">
        <v>0</v>
      </c>
      <c r="G17">
        <v>0</v>
      </c>
      <c r="H17">
        <v>1514</v>
      </c>
      <c r="I17">
        <v>0.30317815681615901</v>
      </c>
      <c r="J17" t="s">
        <v>26</v>
      </c>
      <c r="K17">
        <v>9</v>
      </c>
      <c r="L17" t="s">
        <v>37</v>
      </c>
      <c r="M17" t="s">
        <v>53</v>
      </c>
      <c r="N17" t="s">
        <v>24</v>
      </c>
      <c r="O17" t="s">
        <v>29</v>
      </c>
      <c r="P17" t="s">
        <v>23</v>
      </c>
      <c r="Q17" t="s">
        <v>24</v>
      </c>
      <c r="R17" t="s">
        <v>24</v>
      </c>
      <c r="S17" t="s">
        <v>23</v>
      </c>
      <c r="T17" t="str">
        <f t="shared" si="0"/>
        <v>low risk</v>
      </c>
      <c r="U17" t="str">
        <f t="shared" si="1"/>
        <v>poor</v>
      </c>
    </row>
    <row r="18" spans="1:21">
      <c r="A18" t="s">
        <v>54</v>
      </c>
      <c r="B18">
        <v>41</v>
      </c>
      <c r="C18">
        <v>146484</v>
      </c>
      <c r="D18">
        <v>543</v>
      </c>
      <c r="E18">
        <v>0.17018353321315499</v>
      </c>
      <c r="F18">
        <v>3</v>
      </c>
      <c r="G18">
        <v>0</v>
      </c>
      <c r="H18">
        <v>74039</v>
      </c>
      <c r="I18">
        <v>0.472911476806953</v>
      </c>
      <c r="J18" t="s">
        <v>26</v>
      </c>
      <c r="K18">
        <v>9</v>
      </c>
      <c r="L18" t="s">
        <v>37</v>
      </c>
      <c r="M18" t="s">
        <v>38</v>
      </c>
      <c r="N18" t="s">
        <v>23</v>
      </c>
      <c r="O18" t="s">
        <v>24</v>
      </c>
      <c r="P18" t="s">
        <v>29</v>
      </c>
      <c r="Q18" t="s">
        <v>24</v>
      </c>
      <c r="R18" t="s">
        <v>24</v>
      </c>
      <c r="S18" t="s">
        <v>23</v>
      </c>
      <c r="T18" t="str">
        <f t="shared" si="0"/>
        <v>Medium risk</v>
      </c>
      <c r="U18" t="str">
        <f t="shared" si="1"/>
        <v>poor</v>
      </c>
    </row>
    <row r="19" spans="1:21">
      <c r="A19" t="s">
        <v>55</v>
      </c>
      <c r="B19">
        <v>20</v>
      </c>
      <c r="C19">
        <v>183152</v>
      </c>
      <c r="D19">
        <v>823</v>
      </c>
      <c r="E19">
        <v>0.70914702650806805</v>
      </c>
      <c r="F19">
        <v>0</v>
      </c>
      <c r="G19">
        <v>1</v>
      </c>
      <c r="H19">
        <v>28018</v>
      </c>
      <c r="I19">
        <v>0.30742792440828398</v>
      </c>
      <c r="J19" t="s">
        <v>34</v>
      </c>
      <c r="K19">
        <v>19</v>
      </c>
      <c r="L19" t="s">
        <v>45</v>
      </c>
      <c r="M19" t="s">
        <v>38</v>
      </c>
      <c r="N19" t="s">
        <v>29</v>
      </c>
      <c r="O19" t="s">
        <v>29</v>
      </c>
      <c r="P19" t="s">
        <v>23</v>
      </c>
      <c r="Q19" t="s">
        <v>23</v>
      </c>
      <c r="R19" t="s">
        <v>29</v>
      </c>
      <c r="S19" t="s">
        <v>23</v>
      </c>
      <c r="T19" t="str">
        <f t="shared" si="0"/>
        <v>High risk</v>
      </c>
      <c r="U19" t="str">
        <f t="shared" si="1"/>
        <v>good</v>
      </c>
    </row>
    <row r="20" spans="1:21">
      <c r="A20" t="s">
        <v>56</v>
      </c>
      <c r="B20">
        <v>39</v>
      </c>
      <c r="C20">
        <v>81040</v>
      </c>
      <c r="D20">
        <v>831</v>
      </c>
      <c r="E20">
        <v>0.53382481001981796</v>
      </c>
      <c r="F20">
        <v>5</v>
      </c>
      <c r="G20">
        <v>0</v>
      </c>
      <c r="H20">
        <v>16034</v>
      </c>
      <c r="I20">
        <v>0.40976249648611601</v>
      </c>
      <c r="J20" t="s">
        <v>34</v>
      </c>
      <c r="K20">
        <v>17</v>
      </c>
      <c r="L20" t="s">
        <v>21</v>
      </c>
      <c r="M20" t="s">
        <v>32</v>
      </c>
      <c r="N20" t="s">
        <v>24</v>
      </c>
      <c r="O20" t="s">
        <v>29</v>
      </c>
      <c r="P20" t="s">
        <v>29</v>
      </c>
      <c r="Q20" t="s">
        <v>23</v>
      </c>
      <c r="R20" t="s">
        <v>29</v>
      </c>
      <c r="S20" t="s">
        <v>24</v>
      </c>
      <c r="T20" t="str">
        <f t="shared" si="0"/>
        <v>Medium risk</v>
      </c>
      <c r="U20" t="str">
        <f t="shared" si="1"/>
        <v>average</v>
      </c>
    </row>
    <row r="21" spans="1:21">
      <c r="A21" t="s">
        <v>57</v>
      </c>
      <c r="B21">
        <v>70</v>
      </c>
      <c r="C21">
        <v>181319</v>
      </c>
      <c r="D21">
        <v>486</v>
      </c>
      <c r="E21">
        <v>0.55031421696646299</v>
      </c>
      <c r="F21">
        <v>2</v>
      </c>
      <c r="G21">
        <v>0</v>
      </c>
      <c r="H21">
        <v>2420</v>
      </c>
      <c r="I21">
        <v>0.303830058752242</v>
      </c>
      <c r="J21" t="s">
        <v>50</v>
      </c>
      <c r="K21">
        <v>19</v>
      </c>
      <c r="L21" t="s">
        <v>21</v>
      </c>
      <c r="M21" t="s">
        <v>22</v>
      </c>
      <c r="N21" t="s">
        <v>23</v>
      </c>
      <c r="O21" t="s">
        <v>24</v>
      </c>
      <c r="P21" t="s">
        <v>23</v>
      </c>
      <c r="Q21" t="s">
        <v>23</v>
      </c>
      <c r="R21" t="s">
        <v>23</v>
      </c>
      <c r="S21" t="s">
        <v>24</v>
      </c>
      <c r="T21" t="str">
        <f t="shared" si="0"/>
        <v>Medium risk</v>
      </c>
      <c r="U21" t="str">
        <f t="shared" si="1"/>
        <v>average</v>
      </c>
    </row>
    <row r="22" spans="1:21">
      <c r="A22" t="s">
        <v>58</v>
      </c>
      <c r="B22">
        <v>19</v>
      </c>
      <c r="C22">
        <v>199402</v>
      </c>
      <c r="D22">
        <v>783</v>
      </c>
      <c r="E22">
        <v>0.66190785440118105</v>
      </c>
      <c r="F22">
        <v>4</v>
      </c>
      <c r="G22">
        <v>0</v>
      </c>
      <c r="H22">
        <v>43942</v>
      </c>
      <c r="I22">
        <v>0.33938875948105701</v>
      </c>
      <c r="J22" t="s">
        <v>26</v>
      </c>
      <c r="K22">
        <v>8</v>
      </c>
      <c r="L22" t="s">
        <v>27</v>
      </c>
      <c r="M22" t="s">
        <v>53</v>
      </c>
      <c r="N22" t="s">
        <v>23</v>
      </c>
      <c r="O22" t="s">
        <v>23</v>
      </c>
      <c r="P22" t="s">
        <v>29</v>
      </c>
      <c r="Q22" t="s">
        <v>29</v>
      </c>
      <c r="R22" t="s">
        <v>29</v>
      </c>
      <c r="S22" t="s">
        <v>23</v>
      </c>
      <c r="T22" t="str">
        <f t="shared" si="0"/>
        <v>Medium risk</v>
      </c>
      <c r="U22" t="str">
        <f t="shared" si="1"/>
        <v>good</v>
      </c>
    </row>
    <row r="23" spans="1:21">
      <c r="A23" t="s">
        <v>59</v>
      </c>
      <c r="B23">
        <v>41</v>
      </c>
      <c r="C23">
        <v>40351</v>
      </c>
      <c r="D23">
        <v>690</v>
      </c>
      <c r="E23">
        <v>0.23800456834352099</v>
      </c>
      <c r="F23">
        <v>2</v>
      </c>
      <c r="G23">
        <v>1</v>
      </c>
      <c r="H23">
        <v>2200</v>
      </c>
      <c r="I23">
        <v>0.29185612190572202</v>
      </c>
      <c r="J23" t="s">
        <v>34</v>
      </c>
      <c r="K23">
        <v>14</v>
      </c>
      <c r="L23" t="s">
        <v>31</v>
      </c>
      <c r="M23" t="s">
        <v>32</v>
      </c>
      <c r="N23" t="s">
        <v>24</v>
      </c>
      <c r="O23" t="s">
        <v>24</v>
      </c>
      <c r="P23" t="s">
        <v>29</v>
      </c>
      <c r="Q23" t="s">
        <v>29</v>
      </c>
      <c r="R23" t="s">
        <v>23</v>
      </c>
      <c r="S23" t="s">
        <v>24</v>
      </c>
      <c r="T23" t="str">
        <f t="shared" si="0"/>
        <v>High risk</v>
      </c>
      <c r="U23" t="str">
        <f t="shared" si="1"/>
        <v>poor</v>
      </c>
    </row>
    <row r="24" spans="1:21">
      <c r="A24" t="s">
        <v>60</v>
      </c>
      <c r="B24">
        <v>61</v>
      </c>
      <c r="C24">
        <v>154487</v>
      </c>
      <c r="D24">
        <v>321</v>
      </c>
      <c r="E24">
        <v>0.173699835723167</v>
      </c>
      <c r="F24">
        <v>0</v>
      </c>
      <c r="G24">
        <v>0</v>
      </c>
      <c r="H24">
        <v>81757</v>
      </c>
      <c r="I24">
        <v>0.30953013538739299</v>
      </c>
      <c r="J24" t="s">
        <v>34</v>
      </c>
      <c r="K24">
        <v>3</v>
      </c>
      <c r="L24" t="s">
        <v>37</v>
      </c>
      <c r="M24" t="s">
        <v>38</v>
      </c>
      <c r="N24" t="s">
        <v>23</v>
      </c>
      <c r="O24" t="s">
        <v>29</v>
      </c>
      <c r="P24" t="s">
        <v>29</v>
      </c>
      <c r="Q24" t="s">
        <v>29</v>
      </c>
      <c r="R24" t="s">
        <v>23</v>
      </c>
      <c r="S24" t="s">
        <v>29</v>
      </c>
      <c r="T24" t="str">
        <f t="shared" si="0"/>
        <v>low risk</v>
      </c>
      <c r="U24" t="str">
        <f t="shared" si="1"/>
        <v>good</v>
      </c>
    </row>
    <row r="25" spans="1:21">
      <c r="A25" t="s">
        <v>61</v>
      </c>
      <c r="B25">
        <v>47</v>
      </c>
      <c r="C25">
        <v>108468</v>
      </c>
      <c r="D25">
        <v>538</v>
      </c>
      <c r="E25">
        <v>0.81619085898064003</v>
      </c>
      <c r="F25">
        <v>2</v>
      </c>
      <c r="G25">
        <v>1</v>
      </c>
      <c r="I25">
        <v>0.31705318603879901</v>
      </c>
      <c r="J25" t="s">
        <v>50</v>
      </c>
      <c r="K25">
        <v>7</v>
      </c>
      <c r="L25" t="s">
        <v>37</v>
      </c>
      <c r="M25" t="s">
        <v>28</v>
      </c>
      <c r="N25" t="s">
        <v>23</v>
      </c>
      <c r="O25" t="s">
        <v>23</v>
      </c>
      <c r="P25" t="s">
        <v>23</v>
      </c>
      <c r="Q25" t="s">
        <v>29</v>
      </c>
      <c r="R25" t="s">
        <v>23</v>
      </c>
      <c r="S25" t="s">
        <v>23</v>
      </c>
      <c r="T25" t="str">
        <f t="shared" si="0"/>
        <v>High risk</v>
      </c>
      <c r="U25" t="str">
        <f t="shared" si="1"/>
        <v>good</v>
      </c>
    </row>
    <row r="26" spans="1:21">
      <c r="A26" t="s">
        <v>62</v>
      </c>
      <c r="B26">
        <v>55</v>
      </c>
      <c r="C26">
        <v>41646</v>
      </c>
      <c r="D26">
        <v>847</v>
      </c>
      <c r="E26">
        <v>0.212566647851541</v>
      </c>
      <c r="F26">
        <v>5</v>
      </c>
      <c r="G26">
        <v>0</v>
      </c>
      <c r="H26">
        <v>28018</v>
      </c>
      <c r="I26">
        <v>0.23302681675115999</v>
      </c>
      <c r="J26" t="s">
        <v>50</v>
      </c>
      <c r="K26">
        <v>8</v>
      </c>
      <c r="L26" t="s">
        <v>27</v>
      </c>
      <c r="M26" t="s">
        <v>22</v>
      </c>
      <c r="N26" t="s">
        <v>29</v>
      </c>
      <c r="O26" t="s">
        <v>24</v>
      </c>
      <c r="P26" t="s">
        <v>24</v>
      </c>
      <c r="Q26" t="s">
        <v>24</v>
      </c>
      <c r="R26" t="s">
        <v>23</v>
      </c>
      <c r="S26" t="s">
        <v>23</v>
      </c>
      <c r="T26" t="str">
        <f t="shared" si="0"/>
        <v>Medium risk</v>
      </c>
      <c r="U26" t="str">
        <f t="shared" si="1"/>
        <v>poor</v>
      </c>
    </row>
    <row r="27" spans="1:21">
      <c r="A27" t="s">
        <v>63</v>
      </c>
      <c r="B27">
        <v>19</v>
      </c>
      <c r="C27">
        <v>193998</v>
      </c>
      <c r="D27">
        <v>515</v>
      </c>
      <c r="E27">
        <v>0.25555244058488702</v>
      </c>
      <c r="F27">
        <v>5</v>
      </c>
      <c r="G27">
        <v>0</v>
      </c>
      <c r="I27">
        <v>0.25989313330769098</v>
      </c>
      <c r="J27" t="s">
        <v>20</v>
      </c>
      <c r="K27">
        <v>12</v>
      </c>
      <c r="L27" t="s">
        <v>37</v>
      </c>
      <c r="M27" t="s">
        <v>28</v>
      </c>
      <c r="N27" t="s">
        <v>23</v>
      </c>
      <c r="O27" t="s">
        <v>24</v>
      </c>
      <c r="P27" t="s">
        <v>29</v>
      </c>
      <c r="Q27" t="s">
        <v>23</v>
      </c>
      <c r="R27" t="s">
        <v>24</v>
      </c>
      <c r="S27" t="s">
        <v>29</v>
      </c>
      <c r="T27" t="str">
        <f t="shared" si="0"/>
        <v>Medium risk</v>
      </c>
      <c r="U27" t="str">
        <f t="shared" si="1"/>
        <v>average</v>
      </c>
    </row>
    <row r="28" spans="1:21">
      <c r="A28" t="s">
        <v>64</v>
      </c>
      <c r="B28">
        <v>38</v>
      </c>
      <c r="C28">
        <v>89740</v>
      </c>
      <c r="D28">
        <v>789</v>
      </c>
      <c r="E28">
        <v>0.29551292409084601</v>
      </c>
      <c r="F28">
        <v>0</v>
      </c>
      <c r="G28">
        <v>0</v>
      </c>
      <c r="H28">
        <v>89660</v>
      </c>
      <c r="I28">
        <v>0.27832449835138201</v>
      </c>
      <c r="J28" t="s">
        <v>50</v>
      </c>
      <c r="K28">
        <v>8</v>
      </c>
      <c r="L28" t="s">
        <v>27</v>
      </c>
      <c r="M28" t="s">
        <v>32</v>
      </c>
      <c r="N28" t="s">
        <v>24</v>
      </c>
      <c r="O28" t="s">
        <v>29</v>
      </c>
      <c r="P28" t="s">
        <v>24</v>
      </c>
      <c r="Q28" t="s">
        <v>24</v>
      </c>
      <c r="R28" t="s">
        <v>24</v>
      </c>
      <c r="S28" t="s">
        <v>29</v>
      </c>
      <c r="T28" t="str">
        <f t="shared" si="0"/>
        <v>low risk</v>
      </c>
      <c r="U28" t="str">
        <f t="shared" si="1"/>
        <v>poor</v>
      </c>
    </row>
    <row r="29" spans="1:21">
      <c r="A29" t="s">
        <v>65</v>
      </c>
      <c r="B29">
        <v>50</v>
      </c>
      <c r="C29">
        <v>136790</v>
      </c>
      <c r="D29">
        <v>525</v>
      </c>
      <c r="E29">
        <v>0.91598918473810398</v>
      </c>
      <c r="F29">
        <v>3</v>
      </c>
      <c r="G29">
        <v>0</v>
      </c>
      <c r="H29">
        <v>43870</v>
      </c>
      <c r="I29">
        <v>0.32297110168022902</v>
      </c>
      <c r="J29" t="s">
        <v>43</v>
      </c>
      <c r="K29">
        <v>3</v>
      </c>
      <c r="L29" t="s">
        <v>45</v>
      </c>
      <c r="M29" t="s">
        <v>38</v>
      </c>
      <c r="N29" t="s">
        <v>24</v>
      </c>
      <c r="O29" t="s">
        <v>29</v>
      </c>
      <c r="P29" t="s">
        <v>23</v>
      </c>
      <c r="Q29" t="s">
        <v>23</v>
      </c>
      <c r="R29" t="s">
        <v>24</v>
      </c>
      <c r="S29" t="s">
        <v>29</v>
      </c>
      <c r="T29" t="str">
        <f t="shared" si="0"/>
        <v>Medium risk</v>
      </c>
      <c r="U29" t="str">
        <f t="shared" si="1"/>
        <v>average</v>
      </c>
    </row>
    <row r="30" spans="1:21">
      <c r="A30" t="s">
        <v>66</v>
      </c>
      <c r="B30">
        <v>29</v>
      </c>
      <c r="C30">
        <v>86726</v>
      </c>
      <c r="D30">
        <v>588</v>
      </c>
      <c r="E30">
        <v>0.59867666008230402</v>
      </c>
      <c r="F30">
        <v>2</v>
      </c>
      <c r="G30">
        <v>0</v>
      </c>
      <c r="I30">
        <v>0.29694209804965299</v>
      </c>
      <c r="J30" t="s">
        <v>26</v>
      </c>
      <c r="K30">
        <v>16</v>
      </c>
      <c r="L30" t="s">
        <v>21</v>
      </c>
      <c r="M30" t="s">
        <v>53</v>
      </c>
      <c r="N30" t="s">
        <v>23</v>
      </c>
      <c r="O30" t="s">
        <v>23</v>
      </c>
      <c r="P30" t="s">
        <v>24</v>
      </c>
      <c r="Q30" t="s">
        <v>29</v>
      </c>
      <c r="R30" t="s">
        <v>23</v>
      </c>
      <c r="S30" t="s">
        <v>29</v>
      </c>
      <c r="T30" t="str">
        <f t="shared" si="0"/>
        <v>Medium risk</v>
      </c>
      <c r="U30" t="str">
        <f t="shared" si="1"/>
        <v>average</v>
      </c>
    </row>
    <row r="31" spans="1:21">
      <c r="A31" t="s">
        <v>67</v>
      </c>
      <c r="B31">
        <v>39</v>
      </c>
      <c r="C31">
        <v>88523</v>
      </c>
      <c r="D31">
        <v>523</v>
      </c>
      <c r="E31">
        <v>0.69308159488707599</v>
      </c>
      <c r="F31">
        <v>3</v>
      </c>
      <c r="G31">
        <v>0</v>
      </c>
      <c r="H31">
        <v>29561</v>
      </c>
      <c r="I31">
        <v>0.41730325338257002</v>
      </c>
      <c r="J31" t="s">
        <v>20</v>
      </c>
      <c r="K31">
        <v>15</v>
      </c>
      <c r="L31" t="s">
        <v>31</v>
      </c>
      <c r="M31" t="s">
        <v>28</v>
      </c>
      <c r="N31" t="s">
        <v>23</v>
      </c>
      <c r="O31" t="s">
        <v>29</v>
      </c>
      <c r="P31" t="s">
        <v>29</v>
      </c>
      <c r="Q31" t="s">
        <v>29</v>
      </c>
      <c r="R31" t="s">
        <v>23</v>
      </c>
      <c r="S31" t="s">
        <v>29</v>
      </c>
      <c r="T31" t="str">
        <f t="shared" si="0"/>
        <v>Medium risk</v>
      </c>
      <c r="U31" t="str">
        <f t="shared" si="1"/>
        <v>good</v>
      </c>
    </row>
    <row r="32" spans="1:21">
      <c r="A32" t="s">
        <v>68</v>
      </c>
      <c r="B32">
        <v>61</v>
      </c>
      <c r="C32">
        <v>72458</v>
      </c>
      <c r="D32">
        <v>374</v>
      </c>
      <c r="E32">
        <v>0.53923350911574497</v>
      </c>
      <c r="F32">
        <v>3</v>
      </c>
      <c r="G32">
        <v>0</v>
      </c>
      <c r="H32">
        <v>60530</v>
      </c>
      <c r="I32">
        <v>0.38471183189796399</v>
      </c>
      <c r="J32" t="s">
        <v>43</v>
      </c>
      <c r="K32">
        <v>14</v>
      </c>
      <c r="L32" t="s">
        <v>21</v>
      </c>
      <c r="M32" t="s">
        <v>53</v>
      </c>
      <c r="N32" t="s">
        <v>29</v>
      </c>
      <c r="O32" t="s">
        <v>24</v>
      </c>
      <c r="P32" t="s">
        <v>23</v>
      </c>
      <c r="Q32" t="s">
        <v>24</v>
      </c>
      <c r="R32" t="s">
        <v>29</v>
      </c>
      <c r="S32" t="s">
        <v>24</v>
      </c>
      <c r="T32" t="str">
        <f t="shared" si="0"/>
        <v>Medium risk</v>
      </c>
      <c r="U32" t="str">
        <f t="shared" si="1"/>
        <v>poor</v>
      </c>
    </row>
    <row r="33" spans="1:21">
      <c r="A33" t="s">
        <v>69</v>
      </c>
      <c r="B33">
        <v>42</v>
      </c>
      <c r="C33">
        <v>60106</v>
      </c>
      <c r="D33">
        <v>385</v>
      </c>
      <c r="E33">
        <v>0.37962255775975301</v>
      </c>
      <c r="F33">
        <v>1</v>
      </c>
      <c r="G33">
        <v>0</v>
      </c>
      <c r="H33">
        <v>46663</v>
      </c>
      <c r="I33">
        <v>0.28036724439746202</v>
      </c>
      <c r="J33" t="s">
        <v>34</v>
      </c>
      <c r="K33">
        <v>2</v>
      </c>
      <c r="L33" t="s">
        <v>21</v>
      </c>
      <c r="M33" t="s">
        <v>38</v>
      </c>
      <c r="N33" t="s">
        <v>29</v>
      </c>
      <c r="O33" t="s">
        <v>23</v>
      </c>
      <c r="P33" t="s">
        <v>23</v>
      </c>
      <c r="Q33" t="s">
        <v>29</v>
      </c>
      <c r="R33" t="s">
        <v>29</v>
      </c>
      <c r="S33" t="s">
        <v>24</v>
      </c>
      <c r="T33" t="str">
        <f t="shared" si="0"/>
        <v>low risk</v>
      </c>
      <c r="U33" t="str">
        <f t="shared" si="1"/>
        <v>average</v>
      </c>
    </row>
    <row r="34" spans="1:21">
      <c r="A34" t="s">
        <v>70</v>
      </c>
      <c r="B34">
        <v>66</v>
      </c>
      <c r="C34">
        <v>106362</v>
      </c>
      <c r="D34">
        <v>806</v>
      </c>
      <c r="E34">
        <v>0.62625825665203305</v>
      </c>
      <c r="F34">
        <v>0</v>
      </c>
      <c r="G34">
        <v>1</v>
      </c>
      <c r="H34">
        <v>11308</v>
      </c>
      <c r="I34">
        <v>0.43817838974519302</v>
      </c>
      <c r="J34" t="s">
        <v>34</v>
      </c>
      <c r="K34">
        <v>19</v>
      </c>
      <c r="L34" t="s">
        <v>45</v>
      </c>
      <c r="M34" t="s">
        <v>28</v>
      </c>
      <c r="N34" t="s">
        <v>23</v>
      </c>
      <c r="O34" t="s">
        <v>23</v>
      </c>
      <c r="P34" t="s">
        <v>23</v>
      </c>
      <c r="Q34" t="s">
        <v>23</v>
      </c>
      <c r="R34" t="s">
        <v>23</v>
      </c>
      <c r="S34" t="s">
        <v>29</v>
      </c>
      <c r="T34" t="str">
        <f t="shared" si="0"/>
        <v>High risk</v>
      </c>
      <c r="U34" t="str">
        <f t="shared" si="1"/>
        <v>good</v>
      </c>
    </row>
    <row r="35" spans="1:21">
      <c r="A35" t="s">
        <v>71</v>
      </c>
      <c r="B35">
        <v>44</v>
      </c>
      <c r="C35">
        <v>99076</v>
      </c>
      <c r="D35">
        <v>440</v>
      </c>
      <c r="E35">
        <v>0.18867680584063901</v>
      </c>
      <c r="F35">
        <v>4</v>
      </c>
      <c r="G35">
        <v>0</v>
      </c>
      <c r="H35">
        <v>99005</v>
      </c>
      <c r="I35">
        <v>0.48730206235754497</v>
      </c>
      <c r="J35" t="s">
        <v>20</v>
      </c>
      <c r="K35">
        <v>4</v>
      </c>
      <c r="L35" t="s">
        <v>37</v>
      </c>
      <c r="M35" t="s">
        <v>53</v>
      </c>
      <c r="N35" t="s">
        <v>24</v>
      </c>
      <c r="O35" t="s">
        <v>23</v>
      </c>
      <c r="P35" t="s">
        <v>23</v>
      </c>
      <c r="Q35" t="s">
        <v>24</v>
      </c>
      <c r="R35" t="s">
        <v>29</v>
      </c>
      <c r="S35" t="s">
        <v>24</v>
      </c>
      <c r="T35" t="str">
        <f t="shared" si="0"/>
        <v>Medium risk</v>
      </c>
      <c r="U35" t="str">
        <f t="shared" si="1"/>
        <v>poor</v>
      </c>
    </row>
    <row r="36" spans="1:21">
      <c r="A36" t="s">
        <v>72</v>
      </c>
      <c r="B36">
        <v>59</v>
      </c>
      <c r="C36">
        <v>69693</v>
      </c>
      <c r="D36">
        <v>316</v>
      </c>
      <c r="E36">
        <v>0.28094330958070102</v>
      </c>
      <c r="F36">
        <v>5</v>
      </c>
      <c r="G36">
        <v>1</v>
      </c>
      <c r="H36">
        <v>60278</v>
      </c>
      <c r="I36">
        <v>0.1</v>
      </c>
      <c r="J36" t="s">
        <v>50</v>
      </c>
      <c r="K36">
        <v>4</v>
      </c>
      <c r="L36" t="s">
        <v>31</v>
      </c>
      <c r="M36" t="s">
        <v>53</v>
      </c>
      <c r="N36" t="s">
        <v>29</v>
      </c>
      <c r="O36" t="s">
        <v>24</v>
      </c>
      <c r="P36" t="s">
        <v>23</v>
      </c>
      <c r="Q36" t="s">
        <v>23</v>
      </c>
      <c r="R36" t="s">
        <v>29</v>
      </c>
      <c r="S36" t="s">
        <v>23</v>
      </c>
      <c r="T36" t="str">
        <f t="shared" si="0"/>
        <v>High risk</v>
      </c>
      <c r="U36" t="str">
        <f t="shared" si="1"/>
        <v>average</v>
      </c>
    </row>
    <row r="37" spans="1:21">
      <c r="A37" t="s">
        <v>73</v>
      </c>
      <c r="B37">
        <v>45</v>
      </c>
      <c r="C37">
        <v>137402</v>
      </c>
      <c r="D37">
        <v>464</v>
      </c>
      <c r="E37">
        <v>0.64659503585229605</v>
      </c>
      <c r="F37">
        <v>5</v>
      </c>
      <c r="G37">
        <v>0</v>
      </c>
      <c r="H37">
        <v>65119</v>
      </c>
      <c r="I37">
        <v>0.39322900850662701</v>
      </c>
      <c r="J37" t="s">
        <v>34</v>
      </c>
      <c r="K37">
        <v>19</v>
      </c>
      <c r="L37" t="s">
        <v>37</v>
      </c>
      <c r="M37" t="s">
        <v>28</v>
      </c>
      <c r="N37" t="s">
        <v>24</v>
      </c>
      <c r="O37" t="s">
        <v>24</v>
      </c>
      <c r="P37" t="s">
        <v>24</v>
      </c>
      <c r="Q37" t="s">
        <v>29</v>
      </c>
      <c r="R37" t="s">
        <v>29</v>
      </c>
      <c r="S37" t="s">
        <v>29</v>
      </c>
      <c r="T37" t="str">
        <f t="shared" si="0"/>
        <v>Medium risk</v>
      </c>
      <c r="U37" t="str">
        <f t="shared" si="1"/>
        <v>poor</v>
      </c>
    </row>
    <row r="38" spans="1:21">
      <c r="A38" t="s">
        <v>74</v>
      </c>
      <c r="B38">
        <v>33</v>
      </c>
      <c r="C38">
        <v>53756</v>
      </c>
      <c r="D38">
        <v>521</v>
      </c>
      <c r="E38">
        <v>0.22854895383464299</v>
      </c>
      <c r="F38">
        <v>0</v>
      </c>
      <c r="G38">
        <v>0</v>
      </c>
      <c r="H38">
        <v>36029</v>
      </c>
      <c r="I38">
        <v>0.23070158026685</v>
      </c>
      <c r="J38" t="s">
        <v>40</v>
      </c>
      <c r="K38">
        <v>14</v>
      </c>
      <c r="L38" t="s">
        <v>21</v>
      </c>
      <c r="M38" t="s">
        <v>38</v>
      </c>
      <c r="N38" t="s">
        <v>23</v>
      </c>
      <c r="O38" t="s">
        <v>24</v>
      </c>
      <c r="P38" t="s">
        <v>24</v>
      </c>
      <c r="Q38" t="s">
        <v>29</v>
      </c>
      <c r="R38" t="s">
        <v>29</v>
      </c>
      <c r="S38" t="s">
        <v>24</v>
      </c>
      <c r="T38" t="str">
        <f t="shared" si="0"/>
        <v>low risk</v>
      </c>
      <c r="U38" t="str">
        <f t="shared" si="1"/>
        <v>poor</v>
      </c>
    </row>
    <row r="39" spans="1:21">
      <c r="A39" t="s">
        <v>75</v>
      </c>
      <c r="B39">
        <v>32</v>
      </c>
      <c r="C39">
        <v>181319</v>
      </c>
      <c r="D39">
        <v>467</v>
      </c>
      <c r="E39">
        <v>0.462183706167625</v>
      </c>
      <c r="F39">
        <v>6</v>
      </c>
      <c r="G39">
        <v>0</v>
      </c>
      <c r="H39">
        <v>62010</v>
      </c>
      <c r="I39">
        <v>0.38007480213232903</v>
      </c>
      <c r="J39" t="s">
        <v>20</v>
      </c>
      <c r="K39">
        <v>17</v>
      </c>
      <c r="L39" t="s">
        <v>27</v>
      </c>
      <c r="M39" t="s">
        <v>53</v>
      </c>
      <c r="N39" t="s">
        <v>24</v>
      </c>
      <c r="O39" t="s">
        <v>29</v>
      </c>
      <c r="P39" t="s">
        <v>29</v>
      </c>
      <c r="Q39" t="s">
        <v>29</v>
      </c>
      <c r="R39" t="s">
        <v>24</v>
      </c>
      <c r="S39" t="s">
        <v>29</v>
      </c>
      <c r="T39" t="str">
        <f t="shared" si="0"/>
        <v>Medium risk</v>
      </c>
      <c r="U39" t="str">
        <f t="shared" si="1"/>
        <v>average</v>
      </c>
    </row>
    <row r="40" spans="1:21">
      <c r="A40" t="s">
        <v>76</v>
      </c>
      <c r="B40">
        <v>64</v>
      </c>
      <c r="C40">
        <v>183152</v>
      </c>
      <c r="D40">
        <v>823</v>
      </c>
      <c r="E40">
        <v>0.47129753112891698</v>
      </c>
      <c r="F40">
        <v>6</v>
      </c>
      <c r="G40">
        <v>0</v>
      </c>
      <c r="H40">
        <v>87164</v>
      </c>
      <c r="I40">
        <v>0.42382379406464299</v>
      </c>
      <c r="J40" t="s">
        <v>43</v>
      </c>
      <c r="K40">
        <v>14</v>
      </c>
      <c r="L40" t="s">
        <v>21</v>
      </c>
      <c r="M40" t="s">
        <v>32</v>
      </c>
      <c r="N40" t="s">
        <v>23</v>
      </c>
      <c r="O40" t="s">
        <v>29</v>
      </c>
      <c r="P40" t="s">
        <v>23</v>
      </c>
      <c r="Q40" t="s">
        <v>24</v>
      </c>
      <c r="R40" t="s">
        <v>24</v>
      </c>
      <c r="S40" t="s">
        <v>29</v>
      </c>
      <c r="T40" t="str">
        <f t="shared" si="0"/>
        <v>Medium risk</v>
      </c>
      <c r="U40" t="str">
        <f t="shared" si="1"/>
        <v>average</v>
      </c>
    </row>
    <row r="41" spans="1:21">
      <c r="A41" t="s">
        <v>77</v>
      </c>
      <c r="B41">
        <v>68</v>
      </c>
      <c r="C41">
        <v>97750</v>
      </c>
      <c r="D41">
        <v>352</v>
      </c>
      <c r="E41">
        <v>0.394267599332567</v>
      </c>
      <c r="F41">
        <v>6</v>
      </c>
      <c r="G41">
        <v>0</v>
      </c>
      <c r="H41">
        <v>91432</v>
      </c>
      <c r="I41">
        <v>0.21230074054894399</v>
      </c>
      <c r="J41" t="s">
        <v>20</v>
      </c>
      <c r="K41">
        <v>1</v>
      </c>
      <c r="L41" t="s">
        <v>37</v>
      </c>
      <c r="M41" t="s">
        <v>28</v>
      </c>
      <c r="N41" t="s">
        <v>29</v>
      </c>
      <c r="O41" t="s">
        <v>23</v>
      </c>
      <c r="P41" t="s">
        <v>23</v>
      </c>
      <c r="Q41" t="s">
        <v>29</v>
      </c>
      <c r="R41" t="s">
        <v>29</v>
      </c>
      <c r="S41" t="s">
        <v>29</v>
      </c>
      <c r="T41" t="str">
        <f t="shared" si="0"/>
        <v>Medium risk</v>
      </c>
      <c r="U41" t="str">
        <f t="shared" si="1"/>
        <v>good</v>
      </c>
    </row>
    <row r="42" spans="1:21">
      <c r="A42" t="s">
        <v>78</v>
      </c>
      <c r="B42">
        <v>61</v>
      </c>
      <c r="D42">
        <v>372</v>
      </c>
      <c r="E42">
        <v>0.10977630503022801</v>
      </c>
      <c r="F42">
        <v>4</v>
      </c>
      <c r="G42">
        <v>0</v>
      </c>
      <c r="H42">
        <v>44454</v>
      </c>
      <c r="I42">
        <v>0.114767290098423</v>
      </c>
      <c r="J42" t="s">
        <v>26</v>
      </c>
      <c r="K42">
        <v>12</v>
      </c>
      <c r="L42" t="s">
        <v>21</v>
      </c>
      <c r="M42" t="s">
        <v>22</v>
      </c>
      <c r="N42" t="s">
        <v>23</v>
      </c>
      <c r="O42" t="s">
        <v>24</v>
      </c>
      <c r="P42" t="s">
        <v>23</v>
      </c>
      <c r="Q42" t="s">
        <v>29</v>
      </c>
      <c r="R42" t="s">
        <v>23</v>
      </c>
      <c r="S42" t="s">
        <v>23</v>
      </c>
      <c r="T42" t="str">
        <f t="shared" si="0"/>
        <v>Medium risk</v>
      </c>
      <c r="U42" t="str">
        <f t="shared" si="1"/>
        <v>average</v>
      </c>
    </row>
    <row r="43" spans="1:21">
      <c r="A43" t="s">
        <v>79</v>
      </c>
      <c r="B43">
        <v>72</v>
      </c>
      <c r="C43">
        <v>81617</v>
      </c>
      <c r="D43">
        <v>359</v>
      </c>
      <c r="E43">
        <v>0.37421422176226099</v>
      </c>
      <c r="F43">
        <v>5</v>
      </c>
      <c r="G43">
        <v>0</v>
      </c>
      <c r="H43">
        <v>11564</v>
      </c>
      <c r="I43">
        <v>0.383543408821586</v>
      </c>
      <c r="J43" t="s">
        <v>50</v>
      </c>
      <c r="K43">
        <v>3</v>
      </c>
      <c r="L43" t="s">
        <v>27</v>
      </c>
      <c r="M43" t="s">
        <v>22</v>
      </c>
      <c r="N43" t="s">
        <v>23</v>
      </c>
      <c r="O43" t="s">
        <v>29</v>
      </c>
      <c r="P43" t="s">
        <v>23</v>
      </c>
      <c r="Q43" t="s">
        <v>29</v>
      </c>
      <c r="R43" t="s">
        <v>24</v>
      </c>
      <c r="S43" t="s">
        <v>24</v>
      </c>
      <c r="T43" t="str">
        <f t="shared" si="0"/>
        <v>Medium risk</v>
      </c>
      <c r="U43" t="str">
        <f t="shared" si="1"/>
        <v>average</v>
      </c>
    </row>
    <row r="44" spans="1:21">
      <c r="A44" t="s">
        <v>80</v>
      </c>
      <c r="B44">
        <v>69</v>
      </c>
      <c r="D44">
        <v>792</v>
      </c>
      <c r="E44">
        <v>0.33500632461350199</v>
      </c>
      <c r="F44">
        <v>0</v>
      </c>
      <c r="G44">
        <v>1</v>
      </c>
      <c r="H44">
        <v>11155</v>
      </c>
      <c r="I44">
        <v>0.31354024824836102</v>
      </c>
      <c r="J44" t="s">
        <v>50</v>
      </c>
      <c r="K44">
        <v>9</v>
      </c>
      <c r="L44" t="s">
        <v>45</v>
      </c>
      <c r="M44" t="s">
        <v>38</v>
      </c>
      <c r="N44" t="s">
        <v>29</v>
      </c>
      <c r="O44" t="s">
        <v>23</v>
      </c>
      <c r="P44" t="s">
        <v>23</v>
      </c>
      <c r="Q44" t="s">
        <v>23</v>
      </c>
      <c r="R44" t="s">
        <v>24</v>
      </c>
      <c r="S44" t="s">
        <v>24</v>
      </c>
      <c r="T44" t="str">
        <f t="shared" si="0"/>
        <v>High risk</v>
      </c>
      <c r="U44" t="str">
        <f t="shared" si="1"/>
        <v>average</v>
      </c>
    </row>
    <row r="45" spans="1:21">
      <c r="A45" t="s">
        <v>81</v>
      </c>
      <c r="B45">
        <v>74</v>
      </c>
      <c r="C45">
        <v>66991</v>
      </c>
      <c r="D45">
        <v>601</v>
      </c>
      <c r="E45">
        <v>0.53228797265753902</v>
      </c>
      <c r="F45">
        <v>5</v>
      </c>
      <c r="G45">
        <v>0</v>
      </c>
      <c r="H45">
        <v>31198</v>
      </c>
      <c r="I45">
        <v>0.133156124609737</v>
      </c>
      <c r="J45" t="s">
        <v>20</v>
      </c>
      <c r="K45">
        <v>12</v>
      </c>
      <c r="L45" t="s">
        <v>37</v>
      </c>
      <c r="M45" t="s">
        <v>32</v>
      </c>
      <c r="N45" t="s">
        <v>29</v>
      </c>
      <c r="O45" t="s">
        <v>23</v>
      </c>
      <c r="P45" t="s">
        <v>29</v>
      </c>
      <c r="Q45" t="s">
        <v>24</v>
      </c>
      <c r="R45" t="s">
        <v>24</v>
      </c>
      <c r="S45" t="s">
        <v>23</v>
      </c>
      <c r="T45" t="str">
        <f t="shared" si="0"/>
        <v>Medium risk</v>
      </c>
      <c r="U45" t="str">
        <f t="shared" si="1"/>
        <v>average</v>
      </c>
    </row>
    <row r="46" spans="1:21">
      <c r="A46" t="s">
        <v>82</v>
      </c>
      <c r="B46">
        <v>20</v>
      </c>
      <c r="C46">
        <v>106267</v>
      </c>
      <c r="D46">
        <v>751</v>
      </c>
      <c r="E46">
        <v>0.52209810773989296</v>
      </c>
      <c r="F46">
        <v>3</v>
      </c>
      <c r="G46">
        <v>0</v>
      </c>
      <c r="H46">
        <v>86447</v>
      </c>
      <c r="I46">
        <v>0.55295645054628195</v>
      </c>
      <c r="J46" t="s">
        <v>34</v>
      </c>
      <c r="K46">
        <v>9</v>
      </c>
      <c r="L46" t="s">
        <v>21</v>
      </c>
      <c r="M46" t="s">
        <v>53</v>
      </c>
      <c r="N46" t="s">
        <v>29</v>
      </c>
      <c r="O46" t="s">
        <v>24</v>
      </c>
      <c r="P46" t="s">
        <v>29</v>
      </c>
      <c r="Q46" t="s">
        <v>23</v>
      </c>
      <c r="R46" t="s">
        <v>29</v>
      </c>
      <c r="S46" t="s">
        <v>23</v>
      </c>
      <c r="T46" t="str">
        <f t="shared" si="0"/>
        <v>Medium risk</v>
      </c>
      <c r="U46" t="str">
        <f t="shared" si="1"/>
        <v>average</v>
      </c>
    </row>
    <row r="47" spans="1:21">
      <c r="A47" t="s">
        <v>83</v>
      </c>
      <c r="B47">
        <v>54</v>
      </c>
      <c r="C47">
        <v>59238</v>
      </c>
      <c r="D47">
        <v>401</v>
      </c>
      <c r="E47">
        <v>0.57559229198737405</v>
      </c>
      <c r="F47">
        <v>2</v>
      </c>
      <c r="G47">
        <v>1</v>
      </c>
      <c r="I47">
        <v>0.36244194122565498</v>
      </c>
      <c r="J47" t="s">
        <v>34</v>
      </c>
      <c r="K47">
        <v>8</v>
      </c>
      <c r="L47" t="s">
        <v>37</v>
      </c>
      <c r="M47" t="s">
        <v>22</v>
      </c>
      <c r="N47" t="s">
        <v>29</v>
      </c>
      <c r="O47" t="s">
        <v>23</v>
      </c>
      <c r="P47" t="s">
        <v>24</v>
      </c>
      <c r="Q47" t="s">
        <v>24</v>
      </c>
      <c r="R47" t="s">
        <v>23</v>
      </c>
      <c r="S47" t="s">
        <v>29</v>
      </c>
      <c r="T47" t="str">
        <f t="shared" si="0"/>
        <v>High risk</v>
      </c>
      <c r="U47" t="str">
        <f t="shared" si="1"/>
        <v>average</v>
      </c>
    </row>
    <row r="48" spans="1:21">
      <c r="A48" t="s">
        <v>84</v>
      </c>
      <c r="B48">
        <v>68</v>
      </c>
      <c r="C48">
        <v>153311</v>
      </c>
      <c r="D48">
        <v>326</v>
      </c>
      <c r="E48">
        <v>0.36480274540511998</v>
      </c>
      <c r="F48">
        <v>2</v>
      </c>
      <c r="G48">
        <v>0</v>
      </c>
      <c r="H48">
        <v>5626</v>
      </c>
      <c r="I48">
        <v>0.36701000401251499</v>
      </c>
      <c r="J48" t="s">
        <v>40</v>
      </c>
      <c r="K48">
        <v>7</v>
      </c>
      <c r="L48" t="s">
        <v>45</v>
      </c>
      <c r="M48" t="s">
        <v>38</v>
      </c>
      <c r="N48" t="s">
        <v>24</v>
      </c>
      <c r="O48" t="s">
        <v>24</v>
      </c>
      <c r="P48" t="s">
        <v>29</v>
      </c>
      <c r="Q48" t="s">
        <v>23</v>
      </c>
      <c r="R48" t="s">
        <v>24</v>
      </c>
      <c r="S48" t="s">
        <v>23</v>
      </c>
      <c r="T48" t="str">
        <f t="shared" si="0"/>
        <v>Medium risk</v>
      </c>
      <c r="U48" t="str">
        <f t="shared" si="1"/>
        <v>poor</v>
      </c>
    </row>
    <row r="49" spans="1:21">
      <c r="A49" t="s">
        <v>85</v>
      </c>
      <c r="B49">
        <v>24</v>
      </c>
      <c r="C49">
        <v>146800</v>
      </c>
      <c r="D49">
        <v>637</v>
      </c>
      <c r="E49">
        <v>0.60455559009317805</v>
      </c>
      <c r="F49">
        <v>5</v>
      </c>
      <c r="G49">
        <v>0</v>
      </c>
      <c r="H49">
        <v>2687</v>
      </c>
      <c r="I49">
        <v>0.43658177525620401</v>
      </c>
      <c r="J49" t="s">
        <v>40</v>
      </c>
      <c r="K49">
        <v>2</v>
      </c>
      <c r="L49" t="s">
        <v>21</v>
      </c>
      <c r="M49" t="s">
        <v>32</v>
      </c>
      <c r="N49" t="s">
        <v>29</v>
      </c>
      <c r="O49" t="s">
        <v>23</v>
      </c>
      <c r="P49" t="s">
        <v>29</v>
      </c>
      <c r="Q49" t="s">
        <v>24</v>
      </c>
      <c r="R49" t="s">
        <v>29</v>
      </c>
      <c r="S49" t="s">
        <v>29</v>
      </c>
      <c r="T49" t="str">
        <f t="shared" si="0"/>
        <v>Medium risk</v>
      </c>
      <c r="U49" t="str">
        <f t="shared" si="1"/>
        <v>average</v>
      </c>
    </row>
    <row r="50" spans="1:21">
      <c r="A50" t="s">
        <v>86</v>
      </c>
      <c r="B50">
        <v>38</v>
      </c>
      <c r="C50">
        <v>97750</v>
      </c>
      <c r="D50">
        <v>691</v>
      </c>
      <c r="E50">
        <v>0.188798653445263</v>
      </c>
      <c r="F50">
        <v>1</v>
      </c>
      <c r="G50">
        <v>0</v>
      </c>
      <c r="H50">
        <v>63375</v>
      </c>
      <c r="I50">
        <v>0.24191760471534901</v>
      </c>
      <c r="J50" t="s">
        <v>50</v>
      </c>
      <c r="K50">
        <v>15</v>
      </c>
      <c r="L50" t="s">
        <v>21</v>
      </c>
      <c r="M50" t="s">
        <v>32</v>
      </c>
      <c r="N50" t="s">
        <v>23</v>
      </c>
      <c r="O50" t="s">
        <v>29</v>
      </c>
      <c r="P50" t="s">
        <v>29</v>
      </c>
      <c r="Q50" t="s">
        <v>29</v>
      </c>
      <c r="R50" t="s">
        <v>24</v>
      </c>
      <c r="S50" t="s">
        <v>23</v>
      </c>
      <c r="T50" t="str">
        <f t="shared" si="0"/>
        <v>low risk</v>
      </c>
      <c r="U50" t="str">
        <f t="shared" si="1"/>
        <v>average</v>
      </c>
    </row>
    <row r="51" spans="1:21">
      <c r="A51" t="s">
        <v>87</v>
      </c>
      <c r="B51">
        <v>26</v>
      </c>
      <c r="C51">
        <v>118033</v>
      </c>
      <c r="D51">
        <v>469</v>
      </c>
      <c r="E51">
        <v>0.13561905346952899</v>
      </c>
      <c r="F51">
        <v>4</v>
      </c>
      <c r="G51">
        <v>0</v>
      </c>
      <c r="H51">
        <v>92865</v>
      </c>
      <c r="I51">
        <v>0.31304541120886697</v>
      </c>
      <c r="J51" t="s">
        <v>40</v>
      </c>
      <c r="K51">
        <v>13</v>
      </c>
      <c r="L51" t="s">
        <v>37</v>
      </c>
      <c r="M51" t="s">
        <v>38</v>
      </c>
      <c r="N51" t="s">
        <v>23</v>
      </c>
      <c r="O51" t="s">
        <v>24</v>
      </c>
      <c r="P51" t="s">
        <v>24</v>
      </c>
      <c r="Q51" t="s">
        <v>23</v>
      </c>
      <c r="R51" t="s">
        <v>29</v>
      </c>
      <c r="S51" t="s">
        <v>24</v>
      </c>
      <c r="T51" t="str">
        <f t="shared" si="0"/>
        <v>Medium risk</v>
      </c>
      <c r="U51" t="str">
        <f t="shared" si="1"/>
        <v>poor</v>
      </c>
    </row>
    <row r="52" spans="1:21">
      <c r="A52" t="s">
        <v>88</v>
      </c>
      <c r="B52">
        <v>56</v>
      </c>
      <c r="C52">
        <v>169865</v>
      </c>
      <c r="D52">
        <v>336</v>
      </c>
      <c r="E52">
        <v>0.05</v>
      </c>
      <c r="F52">
        <v>6</v>
      </c>
      <c r="G52">
        <v>0</v>
      </c>
      <c r="H52">
        <v>92183</v>
      </c>
      <c r="I52">
        <v>0.168067808622023</v>
      </c>
      <c r="J52" t="s">
        <v>43</v>
      </c>
      <c r="K52">
        <v>8</v>
      </c>
      <c r="L52" t="s">
        <v>37</v>
      </c>
      <c r="M52" t="s">
        <v>38</v>
      </c>
      <c r="N52" t="s">
        <v>24</v>
      </c>
      <c r="O52" t="s">
        <v>23</v>
      </c>
      <c r="P52" t="s">
        <v>29</v>
      </c>
      <c r="Q52" t="s">
        <v>23</v>
      </c>
      <c r="R52" t="s">
        <v>23</v>
      </c>
      <c r="S52" t="s">
        <v>29</v>
      </c>
      <c r="T52" t="str">
        <f t="shared" si="0"/>
        <v>Medium risk</v>
      </c>
      <c r="U52" t="str">
        <f t="shared" si="1"/>
        <v>average</v>
      </c>
    </row>
    <row r="53" spans="1:21">
      <c r="A53" t="s">
        <v>89</v>
      </c>
      <c r="B53">
        <v>35</v>
      </c>
      <c r="C53">
        <v>109074</v>
      </c>
      <c r="D53">
        <v>383</v>
      </c>
      <c r="E53">
        <v>0.40014055208560001</v>
      </c>
      <c r="F53">
        <v>4</v>
      </c>
      <c r="G53">
        <v>0</v>
      </c>
      <c r="I53">
        <v>0.23920515527148101</v>
      </c>
      <c r="J53" t="s">
        <v>40</v>
      </c>
      <c r="K53">
        <v>10</v>
      </c>
      <c r="L53" t="s">
        <v>27</v>
      </c>
      <c r="M53" t="s">
        <v>53</v>
      </c>
      <c r="N53" t="s">
        <v>23</v>
      </c>
      <c r="O53" t="s">
        <v>24</v>
      </c>
      <c r="P53" t="s">
        <v>23</v>
      </c>
      <c r="Q53" t="s">
        <v>23</v>
      </c>
      <c r="R53" t="s">
        <v>24</v>
      </c>
      <c r="S53" t="s">
        <v>29</v>
      </c>
      <c r="T53" t="str">
        <f t="shared" si="0"/>
        <v>Medium risk</v>
      </c>
      <c r="U53" t="str">
        <f t="shared" si="1"/>
        <v>average</v>
      </c>
    </row>
    <row r="54" spans="1:21">
      <c r="A54" t="s">
        <v>90</v>
      </c>
      <c r="B54">
        <v>21</v>
      </c>
      <c r="C54">
        <v>185806</v>
      </c>
      <c r="D54">
        <v>823</v>
      </c>
      <c r="E54">
        <v>0.34934035513228801</v>
      </c>
      <c r="F54">
        <v>4</v>
      </c>
      <c r="G54">
        <v>0</v>
      </c>
      <c r="I54">
        <v>0.338566000046923</v>
      </c>
      <c r="J54" t="s">
        <v>43</v>
      </c>
      <c r="K54">
        <v>2</v>
      </c>
      <c r="L54" t="s">
        <v>45</v>
      </c>
      <c r="M54" t="s">
        <v>38</v>
      </c>
      <c r="N54" t="s">
        <v>24</v>
      </c>
      <c r="O54" t="s">
        <v>24</v>
      </c>
      <c r="P54" t="s">
        <v>23</v>
      </c>
      <c r="Q54" t="s">
        <v>29</v>
      </c>
      <c r="R54" t="s">
        <v>29</v>
      </c>
      <c r="S54" t="s">
        <v>24</v>
      </c>
      <c r="T54" t="str">
        <f t="shared" si="0"/>
        <v>Medium risk</v>
      </c>
      <c r="U54" t="str">
        <f t="shared" si="1"/>
        <v>poor</v>
      </c>
    </row>
    <row r="55" spans="1:21">
      <c r="A55" t="s">
        <v>91</v>
      </c>
      <c r="B55">
        <v>42</v>
      </c>
      <c r="C55">
        <v>194819</v>
      </c>
      <c r="D55">
        <v>339</v>
      </c>
      <c r="E55">
        <v>0.65786312237092004</v>
      </c>
      <c r="F55">
        <v>3</v>
      </c>
      <c r="G55">
        <v>0</v>
      </c>
      <c r="H55">
        <v>29427</v>
      </c>
      <c r="I55">
        <v>0.13347153328675401</v>
      </c>
      <c r="J55" t="s">
        <v>40</v>
      </c>
      <c r="K55">
        <v>4</v>
      </c>
      <c r="L55" t="s">
        <v>27</v>
      </c>
      <c r="M55" t="s">
        <v>53</v>
      </c>
      <c r="N55" t="s">
        <v>23</v>
      </c>
      <c r="O55" t="s">
        <v>24</v>
      </c>
      <c r="P55" t="s">
        <v>29</v>
      </c>
      <c r="Q55" t="s">
        <v>29</v>
      </c>
      <c r="R55" t="s">
        <v>29</v>
      </c>
      <c r="S55" t="s">
        <v>24</v>
      </c>
      <c r="T55" t="str">
        <f t="shared" si="0"/>
        <v>Medium risk</v>
      </c>
      <c r="U55" t="str">
        <f t="shared" si="1"/>
        <v>average</v>
      </c>
    </row>
    <row r="56" spans="1:21">
      <c r="A56" t="s">
        <v>92</v>
      </c>
      <c r="B56">
        <v>31</v>
      </c>
      <c r="C56">
        <v>90353</v>
      </c>
      <c r="D56">
        <v>711</v>
      </c>
      <c r="E56">
        <v>0.37026748259022602</v>
      </c>
      <c r="F56">
        <v>4</v>
      </c>
      <c r="G56">
        <v>0</v>
      </c>
      <c r="H56">
        <v>69342</v>
      </c>
      <c r="I56">
        <v>0.23637104543219101</v>
      </c>
      <c r="J56" t="s">
        <v>50</v>
      </c>
      <c r="K56">
        <v>9</v>
      </c>
      <c r="L56" t="s">
        <v>21</v>
      </c>
      <c r="M56" t="s">
        <v>53</v>
      </c>
      <c r="N56" t="s">
        <v>23</v>
      </c>
      <c r="O56" t="s">
        <v>29</v>
      </c>
      <c r="P56" t="s">
        <v>29</v>
      </c>
      <c r="Q56" t="s">
        <v>29</v>
      </c>
      <c r="R56" t="s">
        <v>23</v>
      </c>
      <c r="S56" t="s">
        <v>23</v>
      </c>
      <c r="T56" t="str">
        <f t="shared" si="0"/>
        <v>Medium risk</v>
      </c>
      <c r="U56" t="str">
        <f t="shared" si="1"/>
        <v>good</v>
      </c>
    </row>
    <row r="57" spans="1:21">
      <c r="A57" t="s">
        <v>93</v>
      </c>
      <c r="B57">
        <v>67</v>
      </c>
      <c r="C57">
        <v>198401</v>
      </c>
      <c r="D57">
        <v>715</v>
      </c>
      <c r="E57">
        <v>0.55467526958885305</v>
      </c>
      <c r="F57">
        <v>2</v>
      </c>
      <c r="G57">
        <v>0</v>
      </c>
      <c r="H57">
        <v>17401</v>
      </c>
      <c r="I57">
        <v>0.20720660400622701</v>
      </c>
      <c r="J57" t="s">
        <v>50</v>
      </c>
      <c r="K57">
        <v>12</v>
      </c>
      <c r="L57" t="s">
        <v>37</v>
      </c>
      <c r="M57" t="s">
        <v>28</v>
      </c>
      <c r="N57" t="s">
        <v>29</v>
      </c>
      <c r="O57" t="s">
        <v>23</v>
      </c>
      <c r="P57" t="s">
        <v>23</v>
      </c>
      <c r="Q57" t="s">
        <v>29</v>
      </c>
      <c r="R57" t="s">
        <v>23</v>
      </c>
      <c r="S57" t="s">
        <v>23</v>
      </c>
      <c r="T57" t="str">
        <f t="shared" si="0"/>
        <v>Medium risk</v>
      </c>
      <c r="U57" t="str">
        <f t="shared" si="1"/>
        <v>good</v>
      </c>
    </row>
    <row r="58" spans="1:21">
      <c r="A58" t="s">
        <v>94</v>
      </c>
      <c r="B58">
        <v>26</v>
      </c>
      <c r="C58">
        <v>76629</v>
      </c>
      <c r="D58">
        <v>673</v>
      </c>
      <c r="E58">
        <v>0.66265931531661504</v>
      </c>
      <c r="F58">
        <v>3</v>
      </c>
      <c r="G58">
        <v>0</v>
      </c>
      <c r="H58">
        <v>35372</v>
      </c>
      <c r="I58">
        <v>0.31420922456203398</v>
      </c>
      <c r="J58" t="s">
        <v>43</v>
      </c>
      <c r="K58">
        <v>3</v>
      </c>
      <c r="L58" t="s">
        <v>21</v>
      </c>
      <c r="M58" t="s">
        <v>32</v>
      </c>
      <c r="N58" t="s">
        <v>29</v>
      </c>
      <c r="O58" t="s">
        <v>23</v>
      </c>
      <c r="P58" t="s">
        <v>23</v>
      </c>
      <c r="Q58" t="s">
        <v>23</v>
      </c>
      <c r="R58" t="s">
        <v>24</v>
      </c>
      <c r="S58" t="s">
        <v>29</v>
      </c>
      <c r="T58" t="str">
        <f t="shared" si="0"/>
        <v>Medium risk</v>
      </c>
      <c r="U58" t="str">
        <f t="shared" si="1"/>
        <v>average</v>
      </c>
    </row>
    <row r="59" spans="1:21">
      <c r="A59" t="s">
        <v>95</v>
      </c>
      <c r="B59">
        <v>43</v>
      </c>
      <c r="C59">
        <v>107193</v>
      </c>
      <c r="D59">
        <v>843</v>
      </c>
      <c r="E59">
        <v>0.362736184870176</v>
      </c>
      <c r="F59">
        <v>0</v>
      </c>
      <c r="G59">
        <v>0</v>
      </c>
      <c r="H59">
        <v>70793</v>
      </c>
      <c r="I59">
        <v>0.35747012616653401</v>
      </c>
      <c r="J59" t="s">
        <v>20</v>
      </c>
      <c r="K59">
        <v>12</v>
      </c>
      <c r="L59" t="s">
        <v>21</v>
      </c>
      <c r="M59" t="s">
        <v>32</v>
      </c>
      <c r="N59" t="s">
        <v>24</v>
      </c>
      <c r="O59" t="s">
        <v>24</v>
      </c>
      <c r="P59" t="s">
        <v>24</v>
      </c>
      <c r="Q59" t="s">
        <v>24</v>
      </c>
      <c r="R59" t="s">
        <v>23</v>
      </c>
      <c r="S59" t="s">
        <v>29</v>
      </c>
      <c r="T59" t="str">
        <f t="shared" si="0"/>
        <v>low risk</v>
      </c>
      <c r="U59" t="str">
        <f t="shared" si="1"/>
        <v>poor</v>
      </c>
    </row>
    <row r="60" spans="1:21">
      <c r="A60" t="s">
        <v>96</v>
      </c>
      <c r="B60">
        <v>70</v>
      </c>
      <c r="C60">
        <v>81040</v>
      </c>
      <c r="D60">
        <v>401</v>
      </c>
      <c r="E60">
        <v>0.55961044202143495</v>
      </c>
      <c r="F60">
        <v>4</v>
      </c>
      <c r="G60">
        <v>0</v>
      </c>
      <c r="H60">
        <v>63443</v>
      </c>
      <c r="I60">
        <v>0.37421528043764501</v>
      </c>
      <c r="J60" t="s">
        <v>50</v>
      </c>
      <c r="K60">
        <v>11</v>
      </c>
      <c r="L60" t="s">
        <v>31</v>
      </c>
      <c r="M60" t="s">
        <v>32</v>
      </c>
      <c r="N60" t="s">
        <v>23</v>
      </c>
      <c r="O60" t="s">
        <v>24</v>
      </c>
      <c r="P60" t="s">
        <v>24</v>
      </c>
      <c r="Q60" t="s">
        <v>24</v>
      </c>
      <c r="R60" t="s">
        <v>23</v>
      </c>
      <c r="S60" t="s">
        <v>24</v>
      </c>
      <c r="T60" t="str">
        <f t="shared" si="0"/>
        <v>Medium risk</v>
      </c>
      <c r="U60" t="str">
        <f t="shared" si="1"/>
        <v>poor</v>
      </c>
    </row>
    <row r="61" spans="1:21">
      <c r="A61" t="s">
        <v>97</v>
      </c>
      <c r="B61">
        <v>19</v>
      </c>
      <c r="D61">
        <v>538</v>
      </c>
      <c r="E61">
        <v>0.70038550979103897</v>
      </c>
      <c r="F61">
        <v>4</v>
      </c>
      <c r="G61">
        <v>0</v>
      </c>
      <c r="H61">
        <v>37445</v>
      </c>
      <c r="I61">
        <v>0.39988166447781498</v>
      </c>
      <c r="J61" t="s">
        <v>20</v>
      </c>
      <c r="K61">
        <v>4</v>
      </c>
      <c r="L61" t="s">
        <v>31</v>
      </c>
      <c r="M61" t="s">
        <v>28</v>
      </c>
      <c r="N61" t="s">
        <v>29</v>
      </c>
      <c r="O61" t="s">
        <v>23</v>
      </c>
      <c r="P61" t="s">
        <v>24</v>
      </c>
      <c r="Q61" t="s">
        <v>23</v>
      </c>
      <c r="R61" t="s">
        <v>24</v>
      </c>
      <c r="S61" t="s">
        <v>29</v>
      </c>
      <c r="T61" t="str">
        <f t="shared" si="0"/>
        <v>Medium risk</v>
      </c>
      <c r="U61" t="str">
        <f t="shared" si="1"/>
        <v>average</v>
      </c>
    </row>
    <row r="62" spans="1:21">
      <c r="A62" t="s">
        <v>98</v>
      </c>
      <c r="B62">
        <v>37</v>
      </c>
      <c r="C62">
        <v>140899</v>
      </c>
      <c r="D62">
        <v>826</v>
      </c>
      <c r="E62">
        <v>0.25236744503888597</v>
      </c>
      <c r="F62">
        <v>0</v>
      </c>
      <c r="G62">
        <v>1</v>
      </c>
      <c r="H62">
        <v>64950</v>
      </c>
      <c r="I62">
        <v>0.43721168465723698</v>
      </c>
      <c r="J62" t="s">
        <v>34</v>
      </c>
      <c r="K62">
        <v>9</v>
      </c>
      <c r="L62" t="s">
        <v>21</v>
      </c>
      <c r="M62" t="s">
        <v>53</v>
      </c>
      <c r="N62" t="s">
        <v>29</v>
      </c>
      <c r="O62" t="s">
        <v>24</v>
      </c>
      <c r="P62" t="s">
        <v>23</v>
      </c>
      <c r="Q62" t="s">
        <v>24</v>
      </c>
      <c r="R62" t="s">
        <v>24</v>
      </c>
      <c r="S62" t="s">
        <v>29</v>
      </c>
      <c r="T62" t="str">
        <f t="shared" si="0"/>
        <v>High risk</v>
      </c>
      <c r="U62" t="str">
        <f t="shared" si="1"/>
        <v>poor</v>
      </c>
    </row>
    <row r="63" spans="1:21">
      <c r="A63" t="s">
        <v>99</v>
      </c>
      <c r="B63">
        <v>45</v>
      </c>
      <c r="C63">
        <v>184160</v>
      </c>
      <c r="D63">
        <v>475</v>
      </c>
      <c r="E63">
        <v>0.50497046764892795</v>
      </c>
      <c r="F63">
        <v>4</v>
      </c>
      <c r="G63">
        <v>0</v>
      </c>
      <c r="H63">
        <v>49893</v>
      </c>
      <c r="I63">
        <v>0.36072454536833998</v>
      </c>
      <c r="J63" t="s">
        <v>43</v>
      </c>
      <c r="K63">
        <v>8</v>
      </c>
      <c r="L63" t="s">
        <v>37</v>
      </c>
      <c r="M63" t="s">
        <v>53</v>
      </c>
      <c r="N63" t="s">
        <v>23</v>
      </c>
      <c r="O63" t="s">
        <v>24</v>
      </c>
      <c r="P63" t="s">
        <v>29</v>
      </c>
      <c r="Q63" t="s">
        <v>29</v>
      </c>
      <c r="R63" t="s">
        <v>24</v>
      </c>
      <c r="S63" t="s">
        <v>24</v>
      </c>
      <c r="T63" t="str">
        <f t="shared" si="0"/>
        <v>Medium risk</v>
      </c>
      <c r="U63" t="str">
        <f t="shared" si="1"/>
        <v>poor</v>
      </c>
    </row>
    <row r="64" spans="1:21">
      <c r="A64" t="s">
        <v>100</v>
      </c>
      <c r="B64">
        <v>64</v>
      </c>
      <c r="C64">
        <v>155507</v>
      </c>
      <c r="D64">
        <v>801</v>
      </c>
      <c r="E64">
        <v>0.36359312336013699</v>
      </c>
      <c r="F64">
        <v>0</v>
      </c>
      <c r="G64">
        <v>0</v>
      </c>
      <c r="H64">
        <v>81202</v>
      </c>
      <c r="I64">
        <v>0.48873358988944099</v>
      </c>
      <c r="J64" t="s">
        <v>50</v>
      </c>
      <c r="K64">
        <v>19</v>
      </c>
      <c r="L64" t="s">
        <v>21</v>
      </c>
      <c r="M64" t="s">
        <v>38</v>
      </c>
      <c r="N64" t="s">
        <v>24</v>
      </c>
      <c r="O64" t="s">
        <v>23</v>
      </c>
      <c r="P64" t="s">
        <v>23</v>
      </c>
      <c r="Q64" t="s">
        <v>29</v>
      </c>
      <c r="R64" t="s">
        <v>23</v>
      </c>
      <c r="S64" t="s">
        <v>29</v>
      </c>
      <c r="T64" t="str">
        <f t="shared" si="0"/>
        <v>low risk</v>
      </c>
      <c r="U64" t="str">
        <f t="shared" si="1"/>
        <v>average</v>
      </c>
    </row>
    <row r="65" spans="1:21">
      <c r="A65" t="s">
        <v>101</v>
      </c>
      <c r="B65">
        <v>24</v>
      </c>
      <c r="C65">
        <v>109074</v>
      </c>
      <c r="D65">
        <v>739</v>
      </c>
      <c r="E65">
        <v>0.26510202350137202</v>
      </c>
      <c r="F65">
        <v>3</v>
      </c>
      <c r="G65">
        <v>0</v>
      </c>
      <c r="H65">
        <v>54247</v>
      </c>
      <c r="I65">
        <v>0.31195025212646799</v>
      </c>
      <c r="J65" t="s">
        <v>26</v>
      </c>
      <c r="K65">
        <v>6</v>
      </c>
      <c r="L65" t="s">
        <v>31</v>
      </c>
      <c r="M65" t="s">
        <v>28</v>
      </c>
      <c r="N65" t="s">
        <v>24</v>
      </c>
      <c r="O65" t="s">
        <v>24</v>
      </c>
      <c r="P65" t="s">
        <v>24</v>
      </c>
      <c r="Q65" t="s">
        <v>24</v>
      </c>
      <c r="R65" t="s">
        <v>29</v>
      </c>
      <c r="S65" t="s">
        <v>24</v>
      </c>
      <c r="T65" t="str">
        <f t="shared" si="0"/>
        <v>Medium risk</v>
      </c>
      <c r="U65" t="str">
        <f t="shared" si="1"/>
        <v>poor</v>
      </c>
    </row>
    <row r="66" spans="1:21">
      <c r="A66" t="s">
        <v>102</v>
      </c>
      <c r="B66">
        <v>61</v>
      </c>
      <c r="C66">
        <v>43251</v>
      </c>
      <c r="D66">
        <v>773</v>
      </c>
      <c r="E66">
        <v>0.19270965190195399</v>
      </c>
      <c r="F66">
        <v>2</v>
      </c>
      <c r="G66">
        <v>0</v>
      </c>
      <c r="H66">
        <v>86488</v>
      </c>
      <c r="I66">
        <v>0.28266788457494502</v>
      </c>
      <c r="J66" t="s">
        <v>34</v>
      </c>
      <c r="K66">
        <v>1</v>
      </c>
      <c r="L66" t="s">
        <v>37</v>
      </c>
      <c r="M66" t="s">
        <v>38</v>
      </c>
      <c r="N66" t="s">
        <v>29</v>
      </c>
      <c r="O66" t="s">
        <v>24</v>
      </c>
      <c r="P66" t="s">
        <v>23</v>
      </c>
      <c r="Q66" t="s">
        <v>29</v>
      </c>
      <c r="R66" t="s">
        <v>29</v>
      </c>
      <c r="S66" t="s">
        <v>23</v>
      </c>
      <c r="T66" t="str">
        <f t="shared" si="0"/>
        <v>Medium risk</v>
      </c>
      <c r="U66" t="str">
        <f t="shared" si="1"/>
        <v>average</v>
      </c>
    </row>
    <row r="67" spans="1:21">
      <c r="A67" t="s">
        <v>103</v>
      </c>
      <c r="B67">
        <v>25</v>
      </c>
      <c r="C67">
        <v>117634</v>
      </c>
      <c r="D67">
        <v>815</v>
      </c>
      <c r="E67">
        <v>0.26187028556425901</v>
      </c>
      <c r="F67">
        <v>0</v>
      </c>
      <c r="G67">
        <v>0</v>
      </c>
      <c r="H67">
        <v>95267</v>
      </c>
      <c r="I67">
        <v>0.360730736336004</v>
      </c>
      <c r="J67" t="s">
        <v>20</v>
      </c>
      <c r="K67">
        <v>6</v>
      </c>
      <c r="L67" t="s">
        <v>21</v>
      </c>
      <c r="M67" t="s">
        <v>28</v>
      </c>
      <c r="N67" t="s">
        <v>24</v>
      </c>
      <c r="O67" t="s">
        <v>29</v>
      </c>
      <c r="P67" t="s">
        <v>24</v>
      </c>
      <c r="Q67" t="s">
        <v>24</v>
      </c>
      <c r="R67" t="s">
        <v>23</v>
      </c>
      <c r="S67" t="s">
        <v>24</v>
      </c>
      <c r="T67" t="str">
        <f t="shared" ref="T67:T130" si="2">IF(G67=1,"High risk", IF(F67&gt;= 2, "Medium risk", "low risk"))</f>
        <v>low risk</v>
      </c>
      <c r="U67" t="str">
        <f t="shared" ref="U67:U130" si="3">IF(COUNTIF(N67:S67,"Missed") &gt;= 3, "poor", IF(COUNTIF(N67:S67,"Missed") &gt;= 1, "average", "good"))</f>
        <v>poor</v>
      </c>
    </row>
    <row r="68" spans="1:21">
      <c r="A68" t="s">
        <v>104</v>
      </c>
      <c r="B68">
        <v>64</v>
      </c>
      <c r="D68">
        <v>612</v>
      </c>
      <c r="E68">
        <v>0.51200580115040195</v>
      </c>
      <c r="F68">
        <v>1</v>
      </c>
      <c r="G68">
        <v>0</v>
      </c>
      <c r="H68">
        <v>99005</v>
      </c>
      <c r="I68">
        <v>0.27835888250074098</v>
      </c>
      <c r="J68" t="s">
        <v>50</v>
      </c>
      <c r="K68">
        <v>7</v>
      </c>
      <c r="L68" t="s">
        <v>45</v>
      </c>
      <c r="M68" t="s">
        <v>38</v>
      </c>
      <c r="N68" t="s">
        <v>29</v>
      </c>
      <c r="O68" t="s">
        <v>23</v>
      </c>
      <c r="P68" t="s">
        <v>29</v>
      </c>
      <c r="Q68" t="s">
        <v>24</v>
      </c>
      <c r="R68" t="s">
        <v>29</v>
      </c>
      <c r="S68" t="s">
        <v>29</v>
      </c>
      <c r="T68" t="str">
        <f t="shared" si="2"/>
        <v>low risk</v>
      </c>
      <c r="U68" t="str">
        <f t="shared" si="3"/>
        <v>average</v>
      </c>
    </row>
    <row r="69" spans="1:21">
      <c r="A69" t="s">
        <v>105</v>
      </c>
      <c r="B69">
        <v>52</v>
      </c>
      <c r="C69">
        <v>172164</v>
      </c>
      <c r="D69">
        <v>600</v>
      </c>
      <c r="E69">
        <v>0.17783110888765</v>
      </c>
      <c r="F69">
        <v>0</v>
      </c>
      <c r="G69">
        <v>0</v>
      </c>
      <c r="H69">
        <v>7468</v>
      </c>
      <c r="I69">
        <v>0.48525647287750401</v>
      </c>
      <c r="J69" t="s">
        <v>43</v>
      </c>
      <c r="K69">
        <v>6</v>
      </c>
      <c r="L69" t="s">
        <v>45</v>
      </c>
      <c r="M69" t="s">
        <v>22</v>
      </c>
      <c r="N69" t="s">
        <v>24</v>
      </c>
      <c r="O69" t="s">
        <v>24</v>
      </c>
      <c r="P69" t="s">
        <v>29</v>
      </c>
      <c r="Q69" t="s">
        <v>23</v>
      </c>
      <c r="R69" t="s">
        <v>23</v>
      </c>
      <c r="S69" t="s">
        <v>24</v>
      </c>
      <c r="T69" t="str">
        <f t="shared" si="2"/>
        <v>low risk</v>
      </c>
      <c r="U69" t="str">
        <f t="shared" si="3"/>
        <v>poor</v>
      </c>
    </row>
    <row r="70" spans="1:21">
      <c r="A70" t="s">
        <v>106</v>
      </c>
      <c r="B70">
        <v>31</v>
      </c>
      <c r="D70">
        <v>796</v>
      </c>
      <c r="E70">
        <v>0.389854595182272</v>
      </c>
      <c r="F70">
        <v>4</v>
      </c>
      <c r="G70">
        <v>0</v>
      </c>
      <c r="H70">
        <v>85026</v>
      </c>
      <c r="I70">
        <v>0.41309834731352102</v>
      </c>
      <c r="J70" t="s">
        <v>40</v>
      </c>
      <c r="K70">
        <v>13</v>
      </c>
      <c r="L70" t="s">
        <v>21</v>
      </c>
      <c r="M70" t="s">
        <v>32</v>
      </c>
      <c r="N70" t="s">
        <v>24</v>
      </c>
      <c r="O70" t="s">
        <v>23</v>
      </c>
      <c r="P70" t="s">
        <v>24</v>
      </c>
      <c r="Q70" t="s">
        <v>23</v>
      </c>
      <c r="R70" t="s">
        <v>23</v>
      </c>
      <c r="S70" t="s">
        <v>24</v>
      </c>
      <c r="T70" t="str">
        <f t="shared" si="2"/>
        <v>Medium risk</v>
      </c>
      <c r="U70" t="str">
        <f t="shared" si="3"/>
        <v>poor</v>
      </c>
    </row>
    <row r="71" spans="1:21">
      <c r="A71" t="s">
        <v>107</v>
      </c>
      <c r="B71">
        <v>34</v>
      </c>
      <c r="C71">
        <v>81617</v>
      </c>
      <c r="D71">
        <v>822</v>
      </c>
      <c r="E71">
        <v>0.66263888137057902</v>
      </c>
      <c r="F71">
        <v>6</v>
      </c>
      <c r="G71">
        <v>0</v>
      </c>
      <c r="H71">
        <v>24917</v>
      </c>
      <c r="I71">
        <v>0.37502781441995098</v>
      </c>
      <c r="J71" t="s">
        <v>26</v>
      </c>
      <c r="K71">
        <v>18</v>
      </c>
      <c r="L71" t="s">
        <v>37</v>
      </c>
      <c r="M71" t="s">
        <v>32</v>
      </c>
      <c r="N71" t="s">
        <v>23</v>
      </c>
      <c r="O71" t="s">
        <v>24</v>
      </c>
      <c r="P71" t="s">
        <v>29</v>
      </c>
      <c r="Q71" t="s">
        <v>29</v>
      </c>
      <c r="R71" t="s">
        <v>29</v>
      </c>
      <c r="S71" t="s">
        <v>24</v>
      </c>
      <c r="T71" t="str">
        <f t="shared" si="2"/>
        <v>Medium risk</v>
      </c>
      <c r="U71" t="str">
        <f t="shared" si="3"/>
        <v>average</v>
      </c>
    </row>
    <row r="72" spans="1:21">
      <c r="A72" t="s">
        <v>108</v>
      </c>
      <c r="B72">
        <v>53</v>
      </c>
      <c r="C72">
        <v>196415</v>
      </c>
      <c r="D72">
        <v>797</v>
      </c>
      <c r="E72">
        <v>0.58980219268378697</v>
      </c>
      <c r="F72">
        <v>6</v>
      </c>
      <c r="G72">
        <v>1</v>
      </c>
      <c r="H72">
        <v>77348</v>
      </c>
      <c r="I72">
        <v>0.31314193440413501</v>
      </c>
      <c r="J72" t="s">
        <v>20</v>
      </c>
      <c r="K72">
        <v>4</v>
      </c>
      <c r="L72" t="s">
        <v>21</v>
      </c>
      <c r="M72" t="s">
        <v>53</v>
      </c>
      <c r="N72" t="s">
        <v>29</v>
      </c>
      <c r="O72" t="s">
        <v>29</v>
      </c>
      <c r="P72" t="s">
        <v>24</v>
      </c>
      <c r="Q72" t="s">
        <v>24</v>
      </c>
      <c r="R72" t="s">
        <v>29</v>
      </c>
      <c r="S72" t="s">
        <v>23</v>
      </c>
      <c r="T72" t="str">
        <f t="shared" si="2"/>
        <v>High risk</v>
      </c>
      <c r="U72" t="str">
        <f t="shared" si="3"/>
        <v>average</v>
      </c>
    </row>
    <row r="73" spans="1:21">
      <c r="A73" t="s">
        <v>109</v>
      </c>
      <c r="B73">
        <v>67</v>
      </c>
      <c r="C73">
        <v>159572</v>
      </c>
      <c r="D73">
        <v>371</v>
      </c>
      <c r="E73">
        <v>0.393898475412368</v>
      </c>
      <c r="F73">
        <v>3</v>
      </c>
      <c r="G73">
        <v>0</v>
      </c>
      <c r="H73">
        <v>16310</v>
      </c>
      <c r="I73">
        <v>0.25925228285851298</v>
      </c>
      <c r="J73" t="s">
        <v>34</v>
      </c>
      <c r="K73">
        <v>17</v>
      </c>
      <c r="L73" t="s">
        <v>21</v>
      </c>
      <c r="M73" t="s">
        <v>22</v>
      </c>
      <c r="N73" t="s">
        <v>24</v>
      </c>
      <c r="O73" t="s">
        <v>29</v>
      </c>
      <c r="P73" t="s">
        <v>29</v>
      </c>
      <c r="Q73" t="s">
        <v>24</v>
      </c>
      <c r="R73" t="s">
        <v>29</v>
      </c>
      <c r="S73" t="s">
        <v>29</v>
      </c>
      <c r="T73" t="str">
        <f t="shared" si="2"/>
        <v>Medium risk</v>
      </c>
      <c r="U73" t="str">
        <f t="shared" si="3"/>
        <v>average</v>
      </c>
    </row>
    <row r="74" spans="1:21">
      <c r="A74" t="s">
        <v>110</v>
      </c>
      <c r="B74">
        <v>57</v>
      </c>
      <c r="C74">
        <v>136465</v>
      </c>
      <c r="D74">
        <v>567</v>
      </c>
      <c r="E74">
        <v>0.83793808267174397</v>
      </c>
      <c r="F74">
        <v>5</v>
      </c>
      <c r="G74">
        <v>0</v>
      </c>
      <c r="H74">
        <v>95303</v>
      </c>
      <c r="I74">
        <v>0.37013250045677598</v>
      </c>
      <c r="J74" t="s">
        <v>43</v>
      </c>
      <c r="K74">
        <v>19</v>
      </c>
      <c r="L74" t="s">
        <v>31</v>
      </c>
      <c r="M74" t="s">
        <v>32</v>
      </c>
      <c r="N74" t="s">
        <v>23</v>
      </c>
      <c r="O74" t="s">
        <v>23</v>
      </c>
      <c r="P74" t="s">
        <v>24</v>
      </c>
      <c r="Q74" t="s">
        <v>29</v>
      </c>
      <c r="R74" t="s">
        <v>29</v>
      </c>
      <c r="S74" t="s">
        <v>24</v>
      </c>
      <c r="T74" t="str">
        <f t="shared" si="2"/>
        <v>Medium risk</v>
      </c>
      <c r="U74" t="str">
        <f t="shared" si="3"/>
        <v>average</v>
      </c>
    </row>
    <row r="75" spans="1:21">
      <c r="A75" t="s">
        <v>111</v>
      </c>
      <c r="B75">
        <v>21</v>
      </c>
      <c r="C75">
        <v>36447</v>
      </c>
      <c r="D75">
        <v>448</v>
      </c>
      <c r="E75">
        <v>0.87860728278233202</v>
      </c>
      <c r="F75">
        <v>3</v>
      </c>
      <c r="G75">
        <v>0</v>
      </c>
      <c r="H75">
        <v>13355</v>
      </c>
      <c r="I75">
        <v>0.18729025481530401</v>
      </c>
      <c r="J75" t="s">
        <v>26</v>
      </c>
      <c r="K75">
        <v>11</v>
      </c>
      <c r="L75" t="s">
        <v>45</v>
      </c>
      <c r="M75" t="s">
        <v>53</v>
      </c>
      <c r="N75" t="s">
        <v>29</v>
      </c>
      <c r="O75" t="s">
        <v>29</v>
      </c>
      <c r="P75" t="s">
        <v>24</v>
      </c>
      <c r="Q75" t="s">
        <v>23</v>
      </c>
      <c r="R75" t="s">
        <v>29</v>
      </c>
      <c r="S75" t="s">
        <v>24</v>
      </c>
      <c r="T75" t="str">
        <f t="shared" si="2"/>
        <v>Medium risk</v>
      </c>
      <c r="U75" t="str">
        <f t="shared" si="3"/>
        <v>average</v>
      </c>
    </row>
    <row r="76" spans="1:21">
      <c r="A76" t="s">
        <v>112</v>
      </c>
      <c r="B76">
        <v>19</v>
      </c>
      <c r="C76">
        <v>159188</v>
      </c>
      <c r="D76">
        <v>835</v>
      </c>
      <c r="E76">
        <v>0.50522448630794503</v>
      </c>
      <c r="F76">
        <v>5</v>
      </c>
      <c r="G76">
        <v>0</v>
      </c>
      <c r="H76">
        <v>96507</v>
      </c>
      <c r="I76">
        <v>0.45343635334410198</v>
      </c>
      <c r="J76" t="s">
        <v>43</v>
      </c>
      <c r="K76">
        <v>16</v>
      </c>
      <c r="L76" t="s">
        <v>31</v>
      </c>
      <c r="M76" t="s">
        <v>22</v>
      </c>
      <c r="N76" t="s">
        <v>29</v>
      </c>
      <c r="O76" t="s">
        <v>29</v>
      </c>
      <c r="P76" t="s">
        <v>29</v>
      </c>
      <c r="Q76" t="s">
        <v>24</v>
      </c>
      <c r="R76" t="s">
        <v>29</v>
      </c>
      <c r="S76" t="s">
        <v>29</v>
      </c>
      <c r="T76" t="str">
        <f t="shared" si="2"/>
        <v>Medium risk</v>
      </c>
      <c r="U76" t="str">
        <f t="shared" si="3"/>
        <v>average</v>
      </c>
    </row>
    <row r="77" spans="1:21">
      <c r="A77" t="s">
        <v>113</v>
      </c>
      <c r="B77">
        <v>23</v>
      </c>
      <c r="C77">
        <v>181267</v>
      </c>
      <c r="D77">
        <v>542</v>
      </c>
      <c r="E77">
        <v>0.05</v>
      </c>
      <c r="F77">
        <v>6</v>
      </c>
      <c r="G77">
        <v>0</v>
      </c>
      <c r="H77">
        <v>24851</v>
      </c>
      <c r="I77">
        <v>0.28223632946146199</v>
      </c>
      <c r="J77" t="s">
        <v>50</v>
      </c>
      <c r="K77">
        <v>12</v>
      </c>
      <c r="L77" t="s">
        <v>31</v>
      </c>
      <c r="M77" t="s">
        <v>32</v>
      </c>
      <c r="N77" t="s">
        <v>24</v>
      </c>
      <c r="O77" t="s">
        <v>24</v>
      </c>
      <c r="P77" t="s">
        <v>23</v>
      </c>
      <c r="Q77" t="s">
        <v>24</v>
      </c>
      <c r="R77" t="s">
        <v>23</v>
      </c>
      <c r="S77" t="s">
        <v>29</v>
      </c>
      <c r="T77" t="str">
        <f t="shared" si="2"/>
        <v>Medium risk</v>
      </c>
      <c r="U77" t="str">
        <f t="shared" si="3"/>
        <v>poor</v>
      </c>
    </row>
    <row r="78" spans="1:21">
      <c r="A78" t="s">
        <v>114</v>
      </c>
      <c r="B78">
        <v>71</v>
      </c>
      <c r="D78">
        <v>611</v>
      </c>
      <c r="E78">
        <v>0.67728963940325104</v>
      </c>
      <c r="F78">
        <v>6</v>
      </c>
      <c r="G78">
        <v>0</v>
      </c>
      <c r="H78">
        <v>23908</v>
      </c>
      <c r="I78">
        <v>0.33051067332407202</v>
      </c>
      <c r="J78" t="s">
        <v>40</v>
      </c>
      <c r="K78">
        <v>1</v>
      </c>
      <c r="L78" t="s">
        <v>21</v>
      </c>
      <c r="M78" t="s">
        <v>38</v>
      </c>
      <c r="N78" t="s">
        <v>23</v>
      </c>
      <c r="O78" t="s">
        <v>24</v>
      </c>
      <c r="P78" t="s">
        <v>23</v>
      </c>
      <c r="Q78" t="s">
        <v>29</v>
      </c>
      <c r="R78" t="s">
        <v>24</v>
      </c>
      <c r="S78" t="s">
        <v>24</v>
      </c>
      <c r="T78" t="str">
        <f t="shared" si="2"/>
        <v>Medium risk</v>
      </c>
      <c r="U78" t="str">
        <f t="shared" si="3"/>
        <v>poor</v>
      </c>
    </row>
    <row r="79" spans="1:21">
      <c r="A79" t="s">
        <v>115</v>
      </c>
      <c r="B79">
        <v>59</v>
      </c>
      <c r="C79">
        <v>59425</v>
      </c>
      <c r="D79">
        <v>577</v>
      </c>
      <c r="E79">
        <v>0.05</v>
      </c>
      <c r="F79">
        <v>0</v>
      </c>
      <c r="G79">
        <v>0</v>
      </c>
      <c r="H79">
        <v>65548</v>
      </c>
      <c r="I79">
        <v>0.209039892380671</v>
      </c>
      <c r="J79" t="s">
        <v>34</v>
      </c>
      <c r="K79">
        <v>12</v>
      </c>
      <c r="L79" t="s">
        <v>31</v>
      </c>
      <c r="M79" t="s">
        <v>28</v>
      </c>
      <c r="N79" t="s">
        <v>24</v>
      </c>
      <c r="O79" t="s">
        <v>29</v>
      </c>
      <c r="P79" t="s">
        <v>29</v>
      </c>
      <c r="Q79" t="s">
        <v>29</v>
      </c>
      <c r="R79" t="s">
        <v>29</v>
      </c>
      <c r="S79" t="s">
        <v>29</v>
      </c>
      <c r="T79" t="str">
        <f t="shared" si="2"/>
        <v>low risk</v>
      </c>
      <c r="U79" t="str">
        <f t="shared" si="3"/>
        <v>average</v>
      </c>
    </row>
    <row r="80" spans="1:21">
      <c r="A80" t="s">
        <v>116</v>
      </c>
      <c r="B80">
        <v>21</v>
      </c>
      <c r="C80">
        <v>97844</v>
      </c>
      <c r="D80">
        <v>728</v>
      </c>
      <c r="E80">
        <v>0.79522922214401304</v>
      </c>
      <c r="F80">
        <v>2</v>
      </c>
      <c r="G80">
        <v>0</v>
      </c>
      <c r="H80">
        <v>82909</v>
      </c>
      <c r="I80">
        <v>0.37229862631192201</v>
      </c>
      <c r="J80" t="s">
        <v>43</v>
      </c>
      <c r="K80">
        <v>6</v>
      </c>
      <c r="L80" t="s">
        <v>45</v>
      </c>
      <c r="M80" t="s">
        <v>22</v>
      </c>
      <c r="N80" t="s">
        <v>29</v>
      </c>
      <c r="O80" t="s">
        <v>24</v>
      </c>
      <c r="P80" t="s">
        <v>29</v>
      </c>
      <c r="Q80" t="s">
        <v>23</v>
      </c>
      <c r="R80" t="s">
        <v>29</v>
      </c>
      <c r="S80" t="s">
        <v>23</v>
      </c>
      <c r="T80" t="str">
        <f t="shared" si="2"/>
        <v>Medium risk</v>
      </c>
      <c r="U80" t="str">
        <f t="shared" si="3"/>
        <v>average</v>
      </c>
    </row>
    <row r="81" spans="1:21">
      <c r="A81" t="s">
        <v>117</v>
      </c>
      <c r="B81">
        <v>71</v>
      </c>
      <c r="C81">
        <v>115235</v>
      </c>
      <c r="D81">
        <v>427</v>
      </c>
      <c r="E81">
        <v>0.71671698014845897</v>
      </c>
      <c r="F81">
        <v>1</v>
      </c>
      <c r="G81">
        <v>0</v>
      </c>
      <c r="H81">
        <v>31454</v>
      </c>
      <c r="I81">
        <v>0.25462583871616701</v>
      </c>
      <c r="J81" t="s">
        <v>20</v>
      </c>
      <c r="K81">
        <v>9</v>
      </c>
      <c r="L81" t="s">
        <v>31</v>
      </c>
      <c r="M81" t="s">
        <v>53</v>
      </c>
      <c r="N81" t="s">
        <v>24</v>
      </c>
      <c r="O81" t="s">
        <v>29</v>
      </c>
      <c r="P81" t="s">
        <v>23</v>
      </c>
      <c r="Q81" t="s">
        <v>29</v>
      </c>
      <c r="R81" t="s">
        <v>29</v>
      </c>
      <c r="S81" t="s">
        <v>23</v>
      </c>
      <c r="T81" t="str">
        <f t="shared" si="2"/>
        <v>low risk</v>
      </c>
      <c r="U81" t="str">
        <f t="shared" si="3"/>
        <v>average</v>
      </c>
    </row>
    <row r="82" spans="1:21">
      <c r="A82" t="s">
        <v>118</v>
      </c>
      <c r="B82">
        <v>46</v>
      </c>
      <c r="C82">
        <v>189358</v>
      </c>
      <c r="D82">
        <v>824</v>
      </c>
      <c r="E82">
        <v>0.85484250082760405</v>
      </c>
      <c r="F82">
        <v>3</v>
      </c>
      <c r="G82">
        <v>0</v>
      </c>
      <c r="H82">
        <v>4617</v>
      </c>
      <c r="I82">
        <v>0.36492287903050902</v>
      </c>
      <c r="J82" t="s">
        <v>50</v>
      </c>
      <c r="K82">
        <v>5</v>
      </c>
      <c r="L82" t="s">
        <v>45</v>
      </c>
      <c r="M82" t="s">
        <v>22</v>
      </c>
      <c r="N82" t="s">
        <v>24</v>
      </c>
      <c r="O82" t="s">
        <v>23</v>
      </c>
      <c r="P82" t="s">
        <v>23</v>
      </c>
      <c r="Q82" t="s">
        <v>29</v>
      </c>
      <c r="R82" t="s">
        <v>23</v>
      </c>
      <c r="S82" t="s">
        <v>29</v>
      </c>
      <c r="T82" t="str">
        <f t="shared" si="2"/>
        <v>Medium risk</v>
      </c>
      <c r="U82" t="str">
        <f t="shared" si="3"/>
        <v>average</v>
      </c>
    </row>
    <row r="83" spans="1:21">
      <c r="A83" t="s">
        <v>119</v>
      </c>
      <c r="B83">
        <v>35</v>
      </c>
      <c r="C83">
        <v>88847</v>
      </c>
      <c r="D83">
        <v>686</v>
      </c>
      <c r="E83">
        <v>0.55205311167354498</v>
      </c>
      <c r="F83">
        <v>4</v>
      </c>
      <c r="G83">
        <v>0</v>
      </c>
      <c r="H83">
        <v>92329</v>
      </c>
      <c r="I83">
        <v>0.37573934689773802</v>
      </c>
      <c r="J83" t="s">
        <v>50</v>
      </c>
      <c r="K83">
        <v>2</v>
      </c>
      <c r="L83" t="s">
        <v>31</v>
      </c>
      <c r="M83" t="s">
        <v>53</v>
      </c>
      <c r="N83" t="s">
        <v>23</v>
      </c>
      <c r="O83" t="s">
        <v>23</v>
      </c>
      <c r="P83" t="s">
        <v>24</v>
      </c>
      <c r="Q83" t="s">
        <v>29</v>
      </c>
      <c r="R83" t="s">
        <v>23</v>
      </c>
      <c r="S83" t="s">
        <v>23</v>
      </c>
      <c r="T83" t="str">
        <f t="shared" si="2"/>
        <v>Medium risk</v>
      </c>
      <c r="U83" t="str">
        <f t="shared" si="3"/>
        <v>average</v>
      </c>
    </row>
    <row r="84" spans="1:21">
      <c r="A84" t="s">
        <v>120</v>
      </c>
      <c r="B84">
        <v>43</v>
      </c>
      <c r="C84">
        <v>172504</v>
      </c>
      <c r="D84">
        <v>835</v>
      </c>
      <c r="E84">
        <v>0.42772284656363202</v>
      </c>
      <c r="F84">
        <v>5</v>
      </c>
      <c r="G84">
        <v>0</v>
      </c>
      <c r="H84">
        <v>28298</v>
      </c>
      <c r="I84">
        <v>0.235236788641145</v>
      </c>
      <c r="J84" t="s">
        <v>34</v>
      </c>
      <c r="K84">
        <v>2</v>
      </c>
      <c r="L84" t="s">
        <v>45</v>
      </c>
      <c r="M84" t="s">
        <v>22</v>
      </c>
      <c r="N84" t="s">
        <v>29</v>
      </c>
      <c r="O84" t="s">
        <v>24</v>
      </c>
      <c r="P84" t="s">
        <v>23</v>
      </c>
      <c r="Q84" t="s">
        <v>23</v>
      </c>
      <c r="R84" t="s">
        <v>24</v>
      </c>
      <c r="S84" t="s">
        <v>24</v>
      </c>
      <c r="T84" t="str">
        <f t="shared" si="2"/>
        <v>Medium risk</v>
      </c>
      <c r="U84" t="str">
        <f t="shared" si="3"/>
        <v>poor</v>
      </c>
    </row>
    <row r="85" spans="1:21">
      <c r="A85" t="s">
        <v>121</v>
      </c>
      <c r="B85">
        <v>61</v>
      </c>
      <c r="C85">
        <v>115235</v>
      </c>
      <c r="D85">
        <v>820</v>
      </c>
      <c r="E85">
        <v>0.40997977326195501</v>
      </c>
      <c r="F85">
        <v>4</v>
      </c>
      <c r="G85">
        <v>0</v>
      </c>
      <c r="H85">
        <v>10942</v>
      </c>
      <c r="I85">
        <v>0.18764708790859999</v>
      </c>
      <c r="J85" t="s">
        <v>50</v>
      </c>
      <c r="K85">
        <v>17</v>
      </c>
      <c r="L85" t="s">
        <v>31</v>
      </c>
      <c r="M85" t="s">
        <v>53</v>
      </c>
      <c r="N85" t="s">
        <v>23</v>
      </c>
      <c r="O85" t="s">
        <v>23</v>
      </c>
      <c r="P85" t="s">
        <v>24</v>
      </c>
      <c r="Q85" t="s">
        <v>23</v>
      </c>
      <c r="R85" t="s">
        <v>23</v>
      </c>
      <c r="S85" t="s">
        <v>23</v>
      </c>
      <c r="T85" t="str">
        <f t="shared" si="2"/>
        <v>Medium risk</v>
      </c>
      <c r="U85" t="str">
        <f t="shared" si="3"/>
        <v>average</v>
      </c>
    </row>
    <row r="86" spans="1:21">
      <c r="A86" t="s">
        <v>122</v>
      </c>
      <c r="B86">
        <v>51</v>
      </c>
      <c r="C86">
        <v>186230</v>
      </c>
      <c r="D86">
        <v>336</v>
      </c>
      <c r="E86">
        <v>0.39074796579381998</v>
      </c>
      <c r="F86">
        <v>2</v>
      </c>
      <c r="G86">
        <v>0</v>
      </c>
      <c r="H86">
        <v>51440</v>
      </c>
      <c r="I86">
        <v>0.45318999165445401</v>
      </c>
      <c r="J86" t="s">
        <v>20</v>
      </c>
      <c r="K86">
        <v>10</v>
      </c>
      <c r="L86" t="s">
        <v>31</v>
      </c>
      <c r="M86" t="s">
        <v>32</v>
      </c>
      <c r="N86" t="s">
        <v>29</v>
      </c>
      <c r="O86" t="s">
        <v>24</v>
      </c>
      <c r="P86" t="s">
        <v>23</v>
      </c>
      <c r="Q86" t="s">
        <v>29</v>
      </c>
      <c r="R86" t="s">
        <v>23</v>
      </c>
      <c r="S86" t="s">
        <v>29</v>
      </c>
      <c r="T86" t="str">
        <f t="shared" si="2"/>
        <v>Medium risk</v>
      </c>
      <c r="U86" t="str">
        <f t="shared" si="3"/>
        <v>average</v>
      </c>
    </row>
    <row r="87" spans="1:21">
      <c r="A87" t="s">
        <v>123</v>
      </c>
      <c r="B87">
        <v>27</v>
      </c>
      <c r="C87">
        <v>80215</v>
      </c>
      <c r="D87">
        <v>572</v>
      </c>
      <c r="E87">
        <v>0.69621373073493997</v>
      </c>
      <c r="F87">
        <v>5</v>
      </c>
      <c r="G87">
        <v>0</v>
      </c>
      <c r="H87">
        <v>12707</v>
      </c>
      <c r="I87">
        <v>0.28077009659709101</v>
      </c>
      <c r="J87" t="s">
        <v>43</v>
      </c>
      <c r="K87">
        <v>19</v>
      </c>
      <c r="L87" t="s">
        <v>37</v>
      </c>
      <c r="M87" t="s">
        <v>38</v>
      </c>
      <c r="N87" t="s">
        <v>24</v>
      </c>
      <c r="O87" t="s">
        <v>24</v>
      </c>
      <c r="P87" t="s">
        <v>29</v>
      </c>
      <c r="Q87" t="s">
        <v>23</v>
      </c>
      <c r="R87" t="s">
        <v>24</v>
      </c>
      <c r="S87" t="s">
        <v>29</v>
      </c>
      <c r="T87" t="str">
        <f t="shared" si="2"/>
        <v>Medium risk</v>
      </c>
      <c r="U87" t="str">
        <f t="shared" si="3"/>
        <v>poor</v>
      </c>
    </row>
    <row r="88" spans="1:21">
      <c r="A88" t="s">
        <v>124</v>
      </c>
      <c r="B88">
        <v>53</v>
      </c>
      <c r="C88">
        <v>141131</v>
      </c>
      <c r="D88">
        <v>601</v>
      </c>
      <c r="E88">
        <v>0.64245429790117503</v>
      </c>
      <c r="F88">
        <v>3</v>
      </c>
      <c r="G88">
        <v>1</v>
      </c>
      <c r="H88">
        <v>92865</v>
      </c>
      <c r="I88">
        <v>0.32248488160456301</v>
      </c>
      <c r="J88" t="s">
        <v>34</v>
      </c>
      <c r="K88">
        <v>4</v>
      </c>
      <c r="L88" t="s">
        <v>45</v>
      </c>
      <c r="M88" t="s">
        <v>32</v>
      </c>
      <c r="N88" t="s">
        <v>29</v>
      </c>
      <c r="O88" t="s">
        <v>24</v>
      </c>
      <c r="P88" t="s">
        <v>29</v>
      </c>
      <c r="Q88" t="s">
        <v>23</v>
      </c>
      <c r="R88" t="s">
        <v>29</v>
      </c>
      <c r="S88" t="s">
        <v>24</v>
      </c>
      <c r="T88" t="str">
        <f t="shared" si="2"/>
        <v>High risk</v>
      </c>
      <c r="U88" t="str">
        <f t="shared" si="3"/>
        <v>average</v>
      </c>
    </row>
    <row r="89" spans="1:21">
      <c r="A89" t="s">
        <v>125</v>
      </c>
      <c r="B89">
        <v>31</v>
      </c>
      <c r="C89">
        <v>188416</v>
      </c>
      <c r="D89">
        <v>680</v>
      </c>
      <c r="E89">
        <v>0.524045126686842</v>
      </c>
      <c r="F89">
        <v>0</v>
      </c>
      <c r="G89">
        <v>0</v>
      </c>
      <c r="H89">
        <v>35598</v>
      </c>
      <c r="I89">
        <v>0.34854645246467397</v>
      </c>
      <c r="J89" t="s">
        <v>50</v>
      </c>
      <c r="K89">
        <v>18</v>
      </c>
      <c r="L89" t="s">
        <v>45</v>
      </c>
      <c r="M89" t="s">
        <v>38</v>
      </c>
      <c r="N89" t="s">
        <v>29</v>
      </c>
      <c r="O89" t="s">
        <v>23</v>
      </c>
      <c r="P89" t="s">
        <v>29</v>
      </c>
      <c r="Q89" t="s">
        <v>23</v>
      </c>
      <c r="R89" t="s">
        <v>24</v>
      </c>
      <c r="S89" t="s">
        <v>29</v>
      </c>
      <c r="T89" t="str">
        <f t="shared" si="2"/>
        <v>low risk</v>
      </c>
      <c r="U89" t="str">
        <f t="shared" si="3"/>
        <v>average</v>
      </c>
    </row>
    <row r="90" spans="1:21">
      <c r="A90" t="s">
        <v>126</v>
      </c>
      <c r="B90">
        <v>48</v>
      </c>
      <c r="C90">
        <v>129585</v>
      </c>
      <c r="D90">
        <v>458</v>
      </c>
      <c r="E90">
        <v>0.35556373841460498</v>
      </c>
      <c r="F90">
        <v>4</v>
      </c>
      <c r="G90">
        <v>0</v>
      </c>
      <c r="H90">
        <v>51431</v>
      </c>
      <c r="I90">
        <v>0.17462998701017701</v>
      </c>
      <c r="J90" t="s">
        <v>50</v>
      </c>
      <c r="K90">
        <v>18</v>
      </c>
      <c r="L90" t="s">
        <v>45</v>
      </c>
      <c r="M90" t="s">
        <v>32</v>
      </c>
      <c r="N90" t="s">
        <v>29</v>
      </c>
      <c r="O90" t="s">
        <v>23</v>
      </c>
      <c r="P90" t="s">
        <v>24</v>
      </c>
      <c r="Q90" t="s">
        <v>23</v>
      </c>
      <c r="R90" t="s">
        <v>24</v>
      </c>
      <c r="S90" t="s">
        <v>29</v>
      </c>
      <c r="T90" t="str">
        <f t="shared" si="2"/>
        <v>Medium risk</v>
      </c>
      <c r="U90" t="str">
        <f t="shared" si="3"/>
        <v>average</v>
      </c>
    </row>
    <row r="91" spans="1:21">
      <c r="A91" t="s">
        <v>127</v>
      </c>
      <c r="B91">
        <v>65</v>
      </c>
      <c r="C91">
        <v>127856</v>
      </c>
      <c r="D91">
        <v>361</v>
      </c>
      <c r="E91">
        <v>1.0258425262600499</v>
      </c>
      <c r="F91">
        <v>2</v>
      </c>
      <c r="G91">
        <v>0</v>
      </c>
      <c r="H91">
        <v>2200</v>
      </c>
      <c r="I91">
        <v>0.34626661368198802</v>
      </c>
      <c r="J91" t="s">
        <v>20</v>
      </c>
      <c r="K91">
        <v>14</v>
      </c>
      <c r="L91" t="s">
        <v>27</v>
      </c>
      <c r="M91" t="s">
        <v>32</v>
      </c>
      <c r="N91" t="s">
        <v>29</v>
      </c>
      <c r="O91" t="s">
        <v>23</v>
      </c>
      <c r="P91" t="s">
        <v>29</v>
      </c>
      <c r="Q91" t="s">
        <v>24</v>
      </c>
      <c r="R91" t="s">
        <v>24</v>
      </c>
      <c r="S91" t="s">
        <v>29</v>
      </c>
      <c r="T91" t="str">
        <f t="shared" si="2"/>
        <v>Medium risk</v>
      </c>
      <c r="U91" t="str">
        <f t="shared" si="3"/>
        <v>average</v>
      </c>
    </row>
    <row r="92" spans="1:21">
      <c r="A92" t="s">
        <v>128</v>
      </c>
      <c r="B92">
        <v>32</v>
      </c>
      <c r="C92">
        <v>90353</v>
      </c>
      <c r="D92">
        <v>664</v>
      </c>
      <c r="E92">
        <v>0.68247492279257305</v>
      </c>
      <c r="F92">
        <v>3</v>
      </c>
      <c r="G92">
        <v>0</v>
      </c>
      <c r="H92">
        <v>20525</v>
      </c>
      <c r="I92">
        <v>0.309912653615463</v>
      </c>
      <c r="J92" t="s">
        <v>40</v>
      </c>
      <c r="K92">
        <v>15</v>
      </c>
      <c r="L92" t="s">
        <v>31</v>
      </c>
      <c r="M92" t="s">
        <v>22</v>
      </c>
      <c r="N92" t="s">
        <v>29</v>
      </c>
      <c r="O92" t="s">
        <v>23</v>
      </c>
      <c r="P92" t="s">
        <v>23</v>
      </c>
      <c r="Q92" t="s">
        <v>29</v>
      </c>
      <c r="R92" t="s">
        <v>29</v>
      </c>
      <c r="S92" t="s">
        <v>23</v>
      </c>
      <c r="T92" t="str">
        <f t="shared" si="2"/>
        <v>Medium risk</v>
      </c>
      <c r="U92" t="str">
        <f t="shared" si="3"/>
        <v>good</v>
      </c>
    </row>
    <row r="93" spans="1:21">
      <c r="A93" t="s">
        <v>129</v>
      </c>
      <c r="B93">
        <v>25</v>
      </c>
      <c r="C93">
        <v>18709</v>
      </c>
      <c r="D93">
        <v>444</v>
      </c>
      <c r="E93">
        <v>0.18045761604531799</v>
      </c>
      <c r="F93">
        <v>6</v>
      </c>
      <c r="G93">
        <v>0</v>
      </c>
      <c r="H93">
        <v>44437</v>
      </c>
      <c r="I93">
        <v>0.23564693022955999</v>
      </c>
      <c r="J93" t="s">
        <v>40</v>
      </c>
      <c r="K93">
        <v>8</v>
      </c>
      <c r="L93" t="s">
        <v>45</v>
      </c>
      <c r="M93" t="s">
        <v>28</v>
      </c>
      <c r="N93" t="s">
        <v>24</v>
      </c>
      <c r="O93" t="s">
        <v>23</v>
      </c>
      <c r="P93" t="s">
        <v>23</v>
      </c>
      <c r="Q93" t="s">
        <v>29</v>
      </c>
      <c r="R93" t="s">
        <v>29</v>
      </c>
      <c r="S93" t="s">
        <v>23</v>
      </c>
      <c r="T93" t="str">
        <f t="shared" si="2"/>
        <v>Medium risk</v>
      </c>
      <c r="U93" t="str">
        <f t="shared" si="3"/>
        <v>average</v>
      </c>
    </row>
    <row r="94" spans="1:21">
      <c r="A94" t="s">
        <v>130</v>
      </c>
      <c r="B94">
        <v>31</v>
      </c>
      <c r="C94">
        <v>90353</v>
      </c>
      <c r="D94">
        <v>372</v>
      </c>
      <c r="E94">
        <v>0.39674879681257402</v>
      </c>
      <c r="F94">
        <v>6</v>
      </c>
      <c r="G94">
        <v>0</v>
      </c>
      <c r="H94">
        <v>59192</v>
      </c>
      <c r="I94">
        <v>0.184346401516227</v>
      </c>
      <c r="J94" t="s">
        <v>50</v>
      </c>
      <c r="K94">
        <v>3</v>
      </c>
      <c r="L94" t="s">
        <v>27</v>
      </c>
      <c r="M94" t="s">
        <v>53</v>
      </c>
      <c r="N94" t="s">
        <v>23</v>
      </c>
      <c r="O94" t="s">
        <v>23</v>
      </c>
      <c r="P94" t="s">
        <v>24</v>
      </c>
      <c r="Q94" t="s">
        <v>29</v>
      </c>
      <c r="R94" t="s">
        <v>24</v>
      </c>
      <c r="S94" t="s">
        <v>29</v>
      </c>
      <c r="T94" t="str">
        <f t="shared" si="2"/>
        <v>Medium risk</v>
      </c>
      <c r="U94" t="str">
        <f t="shared" si="3"/>
        <v>average</v>
      </c>
    </row>
    <row r="95" spans="1:21">
      <c r="A95" t="s">
        <v>131</v>
      </c>
      <c r="B95">
        <v>40</v>
      </c>
      <c r="D95">
        <v>439</v>
      </c>
      <c r="E95">
        <v>0.68635521948174105</v>
      </c>
      <c r="F95">
        <v>3</v>
      </c>
      <c r="G95">
        <v>0</v>
      </c>
      <c r="H95">
        <v>17401</v>
      </c>
      <c r="I95">
        <v>0.36058855479572699</v>
      </c>
      <c r="J95" t="s">
        <v>43</v>
      </c>
      <c r="K95">
        <v>14</v>
      </c>
      <c r="L95" t="s">
        <v>37</v>
      </c>
      <c r="M95" t="s">
        <v>53</v>
      </c>
      <c r="N95" t="s">
        <v>29</v>
      </c>
      <c r="O95" t="s">
        <v>23</v>
      </c>
      <c r="P95" t="s">
        <v>24</v>
      </c>
      <c r="Q95" t="s">
        <v>29</v>
      </c>
      <c r="R95" t="s">
        <v>29</v>
      </c>
      <c r="S95" t="s">
        <v>23</v>
      </c>
      <c r="T95" t="str">
        <f t="shared" si="2"/>
        <v>Medium risk</v>
      </c>
      <c r="U95" t="str">
        <f t="shared" si="3"/>
        <v>average</v>
      </c>
    </row>
    <row r="96" spans="1:21">
      <c r="A96" t="s">
        <v>132</v>
      </c>
      <c r="B96">
        <v>74</v>
      </c>
      <c r="C96">
        <v>35056</v>
      </c>
      <c r="D96">
        <v>648</v>
      </c>
      <c r="E96">
        <v>0.34009221575346299</v>
      </c>
      <c r="F96">
        <v>3</v>
      </c>
      <c r="G96">
        <v>0</v>
      </c>
      <c r="H96">
        <v>67236</v>
      </c>
      <c r="I96">
        <v>0.41277120081948698</v>
      </c>
      <c r="J96" t="s">
        <v>34</v>
      </c>
      <c r="K96">
        <v>11</v>
      </c>
      <c r="L96" t="s">
        <v>45</v>
      </c>
      <c r="M96" t="s">
        <v>53</v>
      </c>
      <c r="N96" t="s">
        <v>24</v>
      </c>
      <c r="O96" t="s">
        <v>23</v>
      </c>
      <c r="P96" t="s">
        <v>24</v>
      </c>
      <c r="Q96" t="s">
        <v>24</v>
      </c>
      <c r="R96" t="s">
        <v>24</v>
      </c>
      <c r="S96" t="s">
        <v>29</v>
      </c>
      <c r="T96" t="str">
        <f t="shared" si="2"/>
        <v>Medium risk</v>
      </c>
      <c r="U96" t="str">
        <f t="shared" si="3"/>
        <v>poor</v>
      </c>
    </row>
    <row r="97" spans="1:21">
      <c r="A97" t="s">
        <v>133</v>
      </c>
      <c r="B97">
        <v>57</v>
      </c>
      <c r="C97">
        <v>90353</v>
      </c>
      <c r="D97">
        <v>306</v>
      </c>
      <c r="E97">
        <v>0.57030959176517704</v>
      </c>
      <c r="F97">
        <v>3</v>
      </c>
      <c r="G97">
        <v>0</v>
      </c>
      <c r="H97">
        <v>11251</v>
      </c>
      <c r="I97">
        <v>0.31785905173927997</v>
      </c>
      <c r="J97" t="s">
        <v>50</v>
      </c>
      <c r="K97">
        <v>2</v>
      </c>
      <c r="L97" t="s">
        <v>45</v>
      </c>
      <c r="M97" t="s">
        <v>38</v>
      </c>
      <c r="N97" t="s">
        <v>29</v>
      </c>
      <c r="O97" t="s">
        <v>23</v>
      </c>
      <c r="P97" t="s">
        <v>24</v>
      </c>
      <c r="Q97" t="s">
        <v>23</v>
      </c>
      <c r="R97" t="s">
        <v>24</v>
      </c>
      <c r="S97" t="s">
        <v>24</v>
      </c>
      <c r="T97" t="str">
        <f t="shared" si="2"/>
        <v>Medium risk</v>
      </c>
      <c r="U97" t="str">
        <f t="shared" si="3"/>
        <v>poor</v>
      </c>
    </row>
    <row r="98" spans="1:21">
      <c r="A98" t="s">
        <v>134</v>
      </c>
      <c r="B98">
        <v>38</v>
      </c>
      <c r="C98">
        <v>121357</v>
      </c>
      <c r="D98">
        <v>742</v>
      </c>
      <c r="E98">
        <v>0.69015926006722905</v>
      </c>
      <c r="F98">
        <v>5</v>
      </c>
      <c r="G98">
        <v>0</v>
      </c>
      <c r="H98">
        <v>8110</v>
      </c>
      <c r="I98">
        <v>0.15655346581503099</v>
      </c>
      <c r="J98" t="s">
        <v>26</v>
      </c>
      <c r="K98">
        <v>13</v>
      </c>
      <c r="L98" t="s">
        <v>27</v>
      </c>
      <c r="M98" t="s">
        <v>53</v>
      </c>
      <c r="N98" t="s">
        <v>29</v>
      </c>
      <c r="O98" t="s">
        <v>29</v>
      </c>
      <c r="P98" t="s">
        <v>24</v>
      </c>
      <c r="Q98" t="s">
        <v>24</v>
      </c>
      <c r="R98" t="s">
        <v>29</v>
      </c>
      <c r="S98" t="s">
        <v>29</v>
      </c>
      <c r="T98" t="str">
        <f t="shared" si="2"/>
        <v>Medium risk</v>
      </c>
      <c r="U98" t="str">
        <f t="shared" si="3"/>
        <v>average</v>
      </c>
    </row>
    <row r="99" spans="1:21">
      <c r="A99" t="s">
        <v>135</v>
      </c>
      <c r="B99">
        <v>33</v>
      </c>
      <c r="C99">
        <v>152326</v>
      </c>
      <c r="D99">
        <v>383</v>
      </c>
      <c r="E99">
        <v>0.05</v>
      </c>
      <c r="F99">
        <v>3</v>
      </c>
      <c r="G99">
        <v>0</v>
      </c>
      <c r="H99">
        <v>10778</v>
      </c>
      <c r="I99">
        <v>0.19426671828252601</v>
      </c>
      <c r="J99" t="s">
        <v>34</v>
      </c>
      <c r="K99">
        <v>16</v>
      </c>
      <c r="L99" t="s">
        <v>31</v>
      </c>
      <c r="M99" t="s">
        <v>53</v>
      </c>
      <c r="N99" t="s">
        <v>24</v>
      </c>
      <c r="O99" t="s">
        <v>23</v>
      </c>
      <c r="P99" t="s">
        <v>29</v>
      </c>
      <c r="Q99" t="s">
        <v>29</v>
      </c>
      <c r="R99" t="s">
        <v>24</v>
      </c>
      <c r="S99" t="s">
        <v>29</v>
      </c>
      <c r="T99" t="str">
        <f t="shared" si="2"/>
        <v>Medium risk</v>
      </c>
      <c r="U99" t="str">
        <f t="shared" si="3"/>
        <v>average</v>
      </c>
    </row>
    <row r="100" spans="1:21">
      <c r="A100" t="s">
        <v>136</v>
      </c>
      <c r="B100">
        <v>62</v>
      </c>
      <c r="C100">
        <v>189197</v>
      </c>
      <c r="D100">
        <v>639</v>
      </c>
      <c r="E100">
        <v>0.47839246004214903</v>
      </c>
      <c r="F100">
        <v>4</v>
      </c>
      <c r="G100">
        <v>1</v>
      </c>
      <c r="H100">
        <v>50183</v>
      </c>
      <c r="I100">
        <v>0.256787629067594</v>
      </c>
      <c r="J100" t="s">
        <v>40</v>
      </c>
      <c r="K100">
        <v>18</v>
      </c>
      <c r="L100" t="s">
        <v>37</v>
      </c>
      <c r="M100" t="s">
        <v>22</v>
      </c>
      <c r="N100" t="s">
        <v>24</v>
      </c>
      <c r="O100" t="s">
        <v>23</v>
      </c>
      <c r="P100" t="s">
        <v>29</v>
      </c>
      <c r="Q100" t="s">
        <v>24</v>
      </c>
      <c r="R100" t="s">
        <v>29</v>
      </c>
      <c r="S100" t="s">
        <v>23</v>
      </c>
      <c r="T100" t="str">
        <f t="shared" si="2"/>
        <v>High risk</v>
      </c>
      <c r="U100" t="str">
        <f t="shared" si="3"/>
        <v>average</v>
      </c>
    </row>
    <row r="101" spans="1:21">
      <c r="A101" t="s">
        <v>137</v>
      </c>
      <c r="B101">
        <v>35</v>
      </c>
      <c r="C101">
        <v>54298</v>
      </c>
      <c r="D101">
        <v>495</v>
      </c>
      <c r="E101">
        <v>0.48624183071302401</v>
      </c>
      <c r="F101">
        <v>2</v>
      </c>
      <c r="G101">
        <v>0</v>
      </c>
      <c r="H101">
        <v>13355</v>
      </c>
      <c r="I101">
        <v>0.45646197411607498</v>
      </c>
      <c r="J101" t="s">
        <v>50</v>
      </c>
      <c r="K101">
        <v>5</v>
      </c>
      <c r="L101" t="s">
        <v>45</v>
      </c>
      <c r="M101" t="s">
        <v>32</v>
      </c>
      <c r="N101" t="s">
        <v>23</v>
      </c>
      <c r="O101" t="s">
        <v>24</v>
      </c>
      <c r="P101" t="s">
        <v>24</v>
      </c>
      <c r="Q101" t="s">
        <v>23</v>
      </c>
      <c r="R101" t="s">
        <v>23</v>
      </c>
      <c r="S101" t="s">
        <v>23</v>
      </c>
      <c r="T101" t="str">
        <f t="shared" si="2"/>
        <v>Medium risk</v>
      </c>
      <c r="U101" t="str">
        <f t="shared" si="3"/>
        <v>average</v>
      </c>
    </row>
    <row r="102" spans="1:21">
      <c r="A102" t="s">
        <v>138</v>
      </c>
      <c r="B102">
        <v>64</v>
      </c>
      <c r="C102">
        <v>106007</v>
      </c>
      <c r="D102">
        <v>820</v>
      </c>
      <c r="E102">
        <v>0.41758550886324203</v>
      </c>
      <c r="F102">
        <v>5</v>
      </c>
      <c r="G102">
        <v>0</v>
      </c>
      <c r="H102">
        <v>11061</v>
      </c>
      <c r="I102">
        <v>0.27532493379011203</v>
      </c>
      <c r="J102" t="s">
        <v>20</v>
      </c>
      <c r="K102">
        <v>3</v>
      </c>
      <c r="L102" t="s">
        <v>31</v>
      </c>
      <c r="M102" t="s">
        <v>53</v>
      </c>
      <c r="N102" t="s">
        <v>29</v>
      </c>
      <c r="O102" t="s">
        <v>23</v>
      </c>
      <c r="P102" t="s">
        <v>24</v>
      </c>
      <c r="Q102" t="s">
        <v>23</v>
      </c>
      <c r="R102" t="s">
        <v>23</v>
      </c>
      <c r="S102" t="s">
        <v>24</v>
      </c>
      <c r="T102" t="str">
        <f t="shared" si="2"/>
        <v>Medium risk</v>
      </c>
      <c r="U102" t="str">
        <f t="shared" si="3"/>
        <v>average</v>
      </c>
    </row>
    <row r="103" spans="1:21">
      <c r="A103" t="s">
        <v>139</v>
      </c>
      <c r="B103">
        <v>70</v>
      </c>
      <c r="C103">
        <v>155734</v>
      </c>
      <c r="D103">
        <v>563</v>
      </c>
      <c r="E103">
        <v>0.56033902698920801</v>
      </c>
      <c r="F103">
        <v>3</v>
      </c>
      <c r="G103">
        <v>0</v>
      </c>
      <c r="H103">
        <v>79354</v>
      </c>
      <c r="I103">
        <v>0.25314310772018001</v>
      </c>
      <c r="J103" t="s">
        <v>26</v>
      </c>
      <c r="K103">
        <v>6</v>
      </c>
      <c r="L103" t="s">
        <v>37</v>
      </c>
      <c r="M103" t="s">
        <v>28</v>
      </c>
      <c r="N103" t="s">
        <v>23</v>
      </c>
      <c r="O103" t="s">
        <v>24</v>
      </c>
      <c r="P103" t="s">
        <v>24</v>
      </c>
      <c r="Q103" t="s">
        <v>24</v>
      </c>
      <c r="R103" t="s">
        <v>24</v>
      </c>
      <c r="S103" t="s">
        <v>29</v>
      </c>
      <c r="T103" t="str">
        <f t="shared" si="2"/>
        <v>Medium risk</v>
      </c>
      <c r="U103" t="str">
        <f t="shared" si="3"/>
        <v>poor</v>
      </c>
    </row>
    <row r="104" spans="1:21">
      <c r="A104" t="s">
        <v>140</v>
      </c>
      <c r="B104">
        <v>41</v>
      </c>
      <c r="C104">
        <v>163216</v>
      </c>
      <c r="D104">
        <v>429</v>
      </c>
      <c r="E104">
        <v>0.631503921499174</v>
      </c>
      <c r="F104">
        <v>1</v>
      </c>
      <c r="G104">
        <v>1</v>
      </c>
      <c r="I104">
        <v>0.132651520032388</v>
      </c>
      <c r="J104" t="s">
        <v>50</v>
      </c>
      <c r="K104">
        <v>18</v>
      </c>
      <c r="L104" t="s">
        <v>21</v>
      </c>
      <c r="M104" t="s">
        <v>53</v>
      </c>
      <c r="N104" t="s">
        <v>23</v>
      </c>
      <c r="O104" t="s">
        <v>24</v>
      </c>
      <c r="P104" t="s">
        <v>23</v>
      </c>
      <c r="Q104" t="s">
        <v>23</v>
      </c>
      <c r="R104" t="s">
        <v>24</v>
      </c>
      <c r="S104" t="s">
        <v>29</v>
      </c>
      <c r="T104" t="str">
        <f t="shared" si="2"/>
        <v>High risk</v>
      </c>
      <c r="U104" t="str">
        <f t="shared" si="3"/>
        <v>average</v>
      </c>
    </row>
    <row r="105" spans="1:21">
      <c r="A105" t="s">
        <v>141</v>
      </c>
      <c r="B105">
        <v>43</v>
      </c>
      <c r="C105">
        <v>107658</v>
      </c>
      <c r="D105">
        <v>679</v>
      </c>
      <c r="E105">
        <v>0.52841018886492097</v>
      </c>
      <c r="F105">
        <v>1</v>
      </c>
      <c r="G105">
        <v>0</v>
      </c>
      <c r="H105">
        <v>60628</v>
      </c>
      <c r="I105">
        <v>0.23433152098898799</v>
      </c>
      <c r="J105" t="s">
        <v>43</v>
      </c>
      <c r="K105">
        <v>16</v>
      </c>
      <c r="L105" t="s">
        <v>21</v>
      </c>
      <c r="M105" t="s">
        <v>38</v>
      </c>
      <c r="N105" t="s">
        <v>23</v>
      </c>
      <c r="O105" t="s">
        <v>29</v>
      </c>
      <c r="P105" t="s">
        <v>23</v>
      </c>
      <c r="Q105" t="s">
        <v>23</v>
      </c>
      <c r="R105" t="s">
        <v>24</v>
      </c>
      <c r="S105" t="s">
        <v>24</v>
      </c>
      <c r="T105" t="str">
        <f t="shared" si="2"/>
        <v>low risk</v>
      </c>
      <c r="U105" t="str">
        <f t="shared" si="3"/>
        <v>average</v>
      </c>
    </row>
    <row r="106" spans="1:21">
      <c r="A106" t="s">
        <v>142</v>
      </c>
      <c r="B106">
        <v>42</v>
      </c>
      <c r="C106">
        <v>178165</v>
      </c>
      <c r="D106">
        <v>383</v>
      </c>
      <c r="E106">
        <v>0.42523452119011301</v>
      </c>
      <c r="F106">
        <v>2</v>
      </c>
      <c r="G106">
        <v>0</v>
      </c>
      <c r="I106">
        <v>0.17670636460091599</v>
      </c>
      <c r="J106" t="s">
        <v>26</v>
      </c>
      <c r="K106">
        <v>15</v>
      </c>
      <c r="L106" t="s">
        <v>37</v>
      </c>
      <c r="M106" t="s">
        <v>38</v>
      </c>
      <c r="N106" t="s">
        <v>24</v>
      </c>
      <c r="O106" t="s">
        <v>29</v>
      </c>
      <c r="P106" t="s">
        <v>24</v>
      </c>
      <c r="Q106" t="s">
        <v>29</v>
      </c>
      <c r="R106" t="s">
        <v>29</v>
      </c>
      <c r="S106" t="s">
        <v>23</v>
      </c>
      <c r="T106" t="str">
        <f t="shared" si="2"/>
        <v>Medium risk</v>
      </c>
      <c r="U106" t="str">
        <f t="shared" si="3"/>
        <v>average</v>
      </c>
    </row>
    <row r="107" spans="1:21">
      <c r="A107" t="s">
        <v>143</v>
      </c>
      <c r="B107">
        <v>62</v>
      </c>
      <c r="C107">
        <v>99076</v>
      </c>
      <c r="D107">
        <v>340</v>
      </c>
      <c r="E107">
        <v>0.62652425995685301</v>
      </c>
      <c r="F107">
        <v>6</v>
      </c>
      <c r="G107">
        <v>0</v>
      </c>
      <c r="H107">
        <v>30443</v>
      </c>
      <c r="I107">
        <v>0.199682016907719</v>
      </c>
      <c r="J107" t="s">
        <v>50</v>
      </c>
      <c r="K107">
        <v>14</v>
      </c>
      <c r="L107" t="s">
        <v>27</v>
      </c>
      <c r="M107" t="s">
        <v>38</v>
      </c>
      <c r="N107" t="s">
        <v>23</v>
      </c>
      <c r="O107" t="s">
        <v>23</v>
      </c>
      <c r="P107" t="s">
        <v>23</v>
      </c>
      <c r="Q107" t="s">
        <v>24</v>
      </c>
      <c r="R107" t="s">
        <v>24</v>
      </c>
      <c r="S107" t="s">
        <v>24</v>
      </c>
      <c r="T107" t="str">
        <f t="shared" si="2"/>
        <v>Medium risk</v>
      </c>
      <c r="U107" t="str">
        <f t="shared" si="3"/>
        <v>poor</v>
      </c>
    </row>
    <row r="108" spans="1:21">
      <c r="A108" t="s">
        <v>144</v>
      </c>
      <c r="B108">
        <v>58</v>
      </c>
      <c r="C108">
        <v>117023</v>
      </c>
      <c r="D108">
        <v>339</v>
      </c>
      <c r="E108">
        <v>0.509810681854871</v>
      </c>
      <c r="F108">
        <v>0</v>
      </c>
      <c r="G108">
        <v>0</v>
      </c>
      <c r="H108">
        <v>42556</v>
      </c>
      <c r="I108">
        <v>0.31199506801587401</v>
      </c>
      <c r="J108" t="s">
        <v>43</v>
      </c>
      <c r="K108">
        <v>7</v>
      </c>
      <c r="L108" t="s">
        <v>37</v>
      </c>
      <c r="M108" t="s">
        <v>53</v>
      </c>
      <c r="N108" t="s">
        <v>29</v>
      </c>
      <c r="O108" t="s">
        <v>29</v>
      </c>
      <c r="P108" t="s">
        <v>23</v>
      </c>
      <c r="Q108" t="s">
        <v>23</v>
      </c>
      <c r="R108" t="s">
        <v>23</v>
      </c>
      <c r="S108" t="s">
        <v>29</v>
      </c>
      <c r="T108" t="str">
        <f t="shared" si="2"/>
        <v>low risk</v>
      </c>
      <c r="U108" t="str">
        <f t="shared" si="3"/>
        <v>good</v>
      </c>
    </row>
    <row r="109" spans="1:21">
      <c r="A109" t="s">
        <v>145</v>
      </c>
      <c r="B109">
        <v>46</v>
      </c>
      <c r="C109">
        <v>127816</v>
      </c>
      <c r="D109">
        <v>820</v>
      </c>
      <c r="E109">
        <v>0.45385991736090397</v>
      </c>
      <c r="F109">
        <v>0</v>
      </c>
      <c r="G109">
        <v>0</v>
      </c>
      <c r="H109">
        <v>94000</v>
      </c>
      <c r="I109">
        <v>0.25988357943888202</v>
      </c>
      <c r="J109" t="s">
        <v>26</v>
      </c>
      <c r="K109">
        <v>18</v>
      </c>
      <c r="L109" t="s">
        <v>37</v>
      </c>
      <c r="M109" t="s">
        <v>22</v>
      </c>
      <c r="N109" t="s">
        <v>24</v>
      </c>
      <c r="O109" t="s">
        <v>24</v>
      </c>
      <c r="P109" t="s">
        <v>23</v>
      </c>
      <c r="Q109" t="s">
        <v>29</v>
      </c>
      <c r="R109" t="s">
        <v>29</v>
      </c>
      <c r="S109" t="s">
        <v>24</v>
      </c>
      <c r="T109" t="str">
        <f t="shared" si="2"/>
        <v>low risk</v>
      </c>
      <c r="U109" t="str">
        <f t="shared" si="3"/>
        <v>poor</v>
      </c>
    </row>
    <row r="110" spans="1:21">
      <c r="A110" t="s">
        <v>146</v>
      </c>
      <c r="B110">
        <v>32</v>
      </c>
      <c r="C110">
        <v>19748</v>
      </c>
      <c r="D110">
        <v>354</v>
      </c>
      <c r="E110">
        <v>0.237544122932216</v>
      </c>
      <c r="F110">
        <v>6</v>
      </c>
      <c r="G110">
        <v>0</v>
      </c>
      <c r="H110">
        <v>29584</v>
      </c>
      <c r="I110">
        <v>0.469949445267134</v>
      </c>
      <c r="J110" t="s">
        <v>43</v>
      </c>
      <c r="K110">
        <v>7</v>
      </c>
      <c r="L110" t="s">
        <v>27</v>
      </c>
      <c r="M110" t="s">
        <v>28</v>
      </c>
      <c r="N110" t="s">
        <v>24</v>
      </c>
      <c r="O110" t="s">
        <v>23</v>
      </c>
      <c r="P110" t="s">
        <v>29</v>
      </c>
      <c r="Q110" t="s">
        <v>23</v>
      </c>
      <c r="R110" t="s">
        <v>24</v>
      </c>
      <c r="S110" t="s">
        <v>23</v>
      </c>
      <c r="T110" t="str">
        <f t="shared" si="2"/>
        <v>Medium risk</v>
      </c>
      <c r="U110" t="str">
        <f t="shared" si="3"/>
        <v>average</v>
      </c>
    </row>
    <row r="111" spans="1:21">
      <c r="A111" t="s">
        <v>147</v>
      </c>
      <c r="B111">
        <v>62</v>
      </c>
      <c r="C111">
        <v>170026</v>
      </c>
      <c r="D111">
        <v>523</v>
      </c>
      <c r="E111">
        <v>0.18746904294678399</v>
      </c>
      <c r="F111">
        <v>5</v>
      </c>
      <c r="G111">
        <v>0</v>
      </c>
      <c r="H111">
        <v>64950</v>
      </c>
      <c r="I111">
        <v>0.40780033727074699</v>
      </c>
      <c r="J111" t="s">
        <v>43</v>
      </c>
      <c r="K111">
        <v>17</v>
      </c>
      <c r="L111" t="s">
        <v>27</v>
      </c>
      <c r="M111" t="s">
        <v>53</v>
      </c>
      <c r="N111" t="s">
        <v>24</v>
      </c>
      <c r="O111" t="s">
        <v>24</v>
      </c>
      <c r="P111" t="s">
        <v>29</v>
      </c>
      <c r="Q111" t="s">
        <v>23</v>
      </c>
      <c r="R111" t="s">
        <v>29</v>
      </c>
      <c r="S111" t="s">
        <v>29</v>
      </c>
      <c r="T111" t="str">
        <f t="shared" si="2"/>
        <v>Medium risk</v>
      </c>
      <c r="U111" t="str">
        <f t="shared" si="3"/>
        <v>average</v>
      </c>
    </row>
    <row r="112" spans="1:21">
      <c r="A112" t="s">
        <v>148</v>
      </c>
      <c r="B112">
        <v>18</v>
      </c>
      <c r="C112">
        <v>43732</v>
      </c>
      <c r="D112">
        <v>474</v>
      </c>
      <c r="E112">
        <v>0.23375404145718501</v>
      </c>
      <c r="F112">
        <v>5</v>
      </c>
      <c r="G112">
        <v>0</v>
      </c>
      <c r="H112">
        <v>76774</v>
      </c>
      <c r="I112">
        <v>0.23911160621896599</v>
      </c>
      <c r="J112" t="s">
        <v>26</v>
      </c>
      <c r="K112">
        <v>15</v>
      </c>
      <c r="L112" t="s">
        <v>31</v>
      </c>
      <c r="M112" t="s">
        <v>22</v>
      </c>
      <c r="N112" t="s">
        <v>24</v>
      </c>
      <c r="O112" t="s">
        <v>24</v>
      </c>
      <c r="P112" t="s">
        <v>29</v>
      </c>
      <c r="Q112" t="s">
        <v>23</v>
      </c>
      <c r="R112" t="s">
        <v>23</v>
      </c>
      <c r="S112" t="s">
        <v>23</v>
      </c>
      <c r="T112" t="str">
        <f t="shared" si="2"/>
        <v>Medium risk</v>
      </c>
      <c r="U112" t="str">
        <f t="shared" si="3"/>
        <v>average</v>
      </c>
    </row>
    <row r="113" spans="1:21">
      <c r="A113" t="s">
        <v>149</v>
      </c>
      <c r="B113">
        <v>42</v>
      </c>
      <c r="C113">
        <v>16015</v>
      </c>
      <c r="D113">
        <v>332</v>
      </c>
      <c r="E113">
        <v>0.55566581224404299</v>
      </c>
      <c r="F113">
        <v>5</v>
      </c>
      <c r="G113">
        <v>0</v>
      </c>
      <c r="H113">
        <v>8828</v>
      </c>
      <c r="I113">
        <v>0.20831821582594801</v>
      </c>
      <c r="J113" t="s">
        <v>26</v>
      </c>
      <c r="K113">
        <v>19</v>
      </c>
      <c r="L113" t="s">
        <v>31</v>
      </c>
      <c r="M113" t="s">
        <v>22</v>
      </c>
      <c r="N113" t="s">
        <v>23</v>
      </c>
      <c r="O113" t="s">
        <v>24</v>
      </c>
      <c r="P113" t="s">
        <v>23</v>
      </c>
      <c r="Q113" t="s">
        <v>23</v>
      </c>
      <c r="R113" t="s">
        <v>23</v>
      </c>
      <c r="S113" t="s">
        <v>29</v>
      </c>
      <c r="T113" t="str">
        <f t="shared" si="2"/>
        <v>Medium risk</v>
      </c>
      <c r="U113" t="str">
        <f t="shared" si="3"/>
        <v>average</v>
      </c>
    </row>
    <row r="114" spans="1:21">
      <c r="A114" t="s">
        <v>150</v>
      </c>
      <c r="B114">
        <v>24</v>
      </c>
      <c r="C114">
        <v>153311</v>
      </c>
      <c r="D114">
        <v>475</v>
      </c>
      <c r="E114">
        <v>0.48418425047872898</v>
      </c>
      <c r="F114">
        <v>0</v>
      </c>
      <c r="G114">
        <v>1</v>
      </c>
      <c r="H114">
        <v>692</v>
      </c>
      <c r="I114">
        <v>0.43826419356641899</v>
      </c>
      <c r="J114" t="s">
        <v>43</v>
      </c>
      <c r="K114">
        <v>18</v>
      </c>
      <c r="L114" t="s">
        <v>27</v>
      </c>
      <c r="M114" t="s">
        <v>53</v>
      </c>
      <c r="N114" t="s">
        <v>24</v>
      </c>
      <c r="O114" t="s">
        <v>23</v>
      </c>
      <c r="P114" t="s">
        <v>23</v>
      </c>
      <c r="Q114" t="s">
        <v>23</v>
      </c>
      <c r="R114" t="s">
        <v>24</v>
      </c>
      <c r="S114" t="s">
        <v>29</v>
      </c>
      <c r="T114" t="str">
        <f t="shared" si="2"/>
        <v>High risk</v>
      </c>
      <c r="U114" t="str">
        <f t="shared" si="3"/>
        <v>average</v>
      </c>
    </row>
    <row r="115" spans="1:21">
      <c r="A115" t="s">
        <v>151</v>
      </c>
      <c r="B115">
        <v>26</v>
      </c>
      <c r="D115">
        <v>725</v>
      </c>
      <c r="E115">
        <v>0.203943180358507</v>
      </c>
      <c r="F115">
        <v>1</v>
      </c>
      <c r="G115">
        <v>0</v>
      </c>
      <c r="H115">
        <v>77743</v>
      </c>
      <c r="I115">
        <v>0.46600424894834802</v>
      </c>
      <c r="J115" t="s">
        <v>40</v>
      </c>
      <c r="K115">
        <v>9</v>
      </c>
      <c r="L115" t="s">
        <v>21</v>
      </c>
      <c r="M115" t="s">
        <v>53</v>
      </c>
      <c r="N115" t="s">
        <v>29</v>
      </c>
      <c r="O115" t="s">
        <v>23</v>
      </c>
      <c r="P115" t="s">
        <v>23</v>
      </c>
      <c r="Q115" t="s">
        <v>23</v>
      </c>
      <c r="R115" t="s">
        <v>29</v>
      </c>
      <c r="S115" t="s">
        <v>29</v>
      </c>
      <c r="T115" t="str">
        <f t="shared" si="2"/>
        <v>low risk</v>
      </c>
      <c r="U115" t="str">
        <f t="shared" si="3"/>
        <v>good</v>
      </c>
    </row>
    <row r="116" spans="1:21">
      <c r="A116" t="s">
        <v>152</v>
      </c>
      <c r="B116">
        <v>41</v>
      </c>
      <c r="C116">
        <v>138961</v>
      </c>
      <c r="D116">
        <v>826</v>
      </c>
      <c r="E116">
        <v>0.62918356515876195</v>
      </c>
      <c r="F116">
        <v>0</v>
      </c>
      <c r="G116">
        <v>0</v>
      </c>
      <c r="H116">
        <v>32588</v>
      </c>
      <c r="I116">
        <v>0.1</v>
      </c>
      <c r="J116" t="s">
        <v>26</v>
      </c>
      <c r="K116">
        <v>16</v>
      </c>
      <c r="L116" t="s">
        <v>21</v>
      </c>
      <c r="M116" t="s">
        <v>22</v>
      </c>
      <c r="N116" t="s">
        <v>29</v>
      </c>
      <c r="O116" t="s">
        <v>29</v>
      </c>
      <c r="P116" t="s">
        <v>24</v>
      </c>
      <c r="Q116" t="s">
        <v>23</v>
      </c>
      <c r="R116" t="s">
        <v>24</v>
      </c>
      <c r="S116" t="s">
        <v>23</v>
      </c>
      <c r="T116" t="str">
        <f t="shared" si="2"/>
        <v>low risk</v>
      </c>
      <c r="U116" t="str">
        <f t="shared" si="3"/>
        <v>average</v>
      </c>
    </row>
    <row r="117" spans="1:21">
      <c r="A117" t="s">
        <v>153</v>
      </c>
      <c r="B117">
        <v>18</v>
      </c>
      <c r="C117">
        <v>121884</v>
      </c>
      <c r="E117">
        <v>0.774861902635819</v>
      </c>
      <c r="F117">
        <v>4</v>
      </c>
      <c r="G117">
        <v>0</v>
      </c>
      <c r="I117">
        <v>0.30928576239716998</v>
      </c>
      <c r="J117" t="s">
        <v>50</v>
      </c>
      <c r="K117">
        <v>12</v>
      </c>
      <c r="L117" t="s">
        <v>37</v>
      </c>
      <c r="M117" t="s">
        <v>22</v>
      </c>
      <c r="N117" t="s">
        <v>29</v>
      </c>
      <c r="O117" t="s">
        <v>23</v>
      </c>
      <c r="P117" t="s">
        <v>23</v>
      </c>
      <c r="Q117" t="s">
        <v>23</v>
      </c>
      <c r="R117" t="s">
        <v>24</v>
      </c>
      <c r="S117" t="s">
        <v>23</v>
      </c>
      <c r="T117" t="str">
        <f t="shared" si="2"/>
        <v>Medium risk</v>
      </c>
      <c r="U117" t="str">
        <f t="shared" si="3"/>
        <v>average</v>
      </c>
    </row>
    <row r="118" spans="1:21">
      <c r="A118" t="s">
        <v>154</v>
      </c>
      <c r="B118">
        <v>61</v>
      </c>
      <c r="C118">
        <v>19835</v>
      </c>
      <c r="D118">
        <v>629</v>
      </c>
      <c r="E118">
        <v>0.38030127665673202</v>
      </c>
      <c r="F118">
        <v>3</v>
      </c>
      <c r="G118">
        <v>1</v>
      </c>
      <c r="H118">
        <v>55980</v>
      </c>
      <c r="I118">
        <v>0.27481216921032697</v>
      </c>
      <c r="J118" t="s">
        <v>34</v>
      </c>
      <c r="K118">
        <v>12</v>
      </c>
      <c r="L118" t="s">
        <v>45</v>
      </c>
      <c r="M118" t="s">
        <v>22</v>
      </c>
      <c r="N118" t="s">
        <v>23</v>
      </c>
      <c r="O118" t="s">
        <v>23</v>
      </c>
      <c r="P118" t="s">
        <v>24</v>
      </c>
      <c r="Q118" t="s">
        <v>24</v>
      </c>
      <c r="R118" t="s">
        <v>24</v>
      </c>
      <c r="S118" t="s">
        <v>24</v>
      </c>
      <c r="T118" t="str">
        <f t="shared" si="2"/>
        <v>High risk</v>
      </c>
      <c r="U118" t="str">
        <f t="shared" si="3"/>
        <v>poor</v>
      </c>
    </row>
    <row r="119" spans="1:21">
      <c r="A119" t="s">
        <v>155</v>
      </c>
      <c r="B119">
        <v>25</v>
      </c>
      <c r="C119">
        <v>84724</v>
      </c>
      <c r="D119">
        <v>655</v>
      </c>
      <c r="E119">
        <v>0.15180362852632501</v>
      </c>
      <c r="F119">
        <v>5</v>
      </c>
      <c r="G119">
        <v>0</v>
      </c>
      <c r="H119">
        <v>22510</v>
      </c>
      <c r="I119">
        <v>0.36491201400599299</v>
      </c>
      <c r="J119" t="s">
        <v>20</v>
      </c>
      <c r="K119">
        <v>6</v>
      </c>
      <c r="L119" t="s">
        <v>37</v>
      </c>
      <c r="M119" t="s">
        <v>53</v>
      </c>
      <c r="N119" t="s">
        <v>23</v>
      </c>
      <c r="O119" t="s">
        <v>23</v>
      </c>
      <c r="P119" t="s">
        <v>29</v>
      </c>
      <c r="Q119" t="s">
        <v>23</v>
      </c>
      <c r="R119" t="s">
        <v>29</v>
      </c>
      <c r="S119" t="s">
        <v>23</v>
      </c>
      <c r="T119" t="str">
        <f t="shared" si="2"/>
        <v>Medium risk</v>
      </c>
      <c r="U119" t="str">
        <f t="shared" si="3"/>
        <v>good</v>
      </c>
    </row>
    <row r="120" spans="1:21">
      <c r="A120" t="s">
        <v>156</v>
      </c>
      <c r="B120">
        <v>41</v>
      </c>
      <c r="C120">
        <v>125448</v>
      </c>
      <c r="D120">
        <v>644</v>
      </c>
      <c r="E120">
        <v>0.358174723019617</v>
      </c>
      <c r="F120">
        <v>1</v>
      </c>
      <c r="G120">
        <v>1</v>
      </c>
      <c r="H120">
        <v>82909</v>
      </c>
      <c r="I120">
        <v>0.49426681241615</v>
      </c>
      <c r="J120" t="s">
        <v>43</v>
      </c>
      <c r="K120">
        <v>9</v>
      </c>
      <c r="L120" t="s">
        <v>37</v>
      </c>
      <c r="M120" t="s">
        <v>22</v>
      </c>
      <c r="N120" t="s">
        <v>29</v>
      </c>
      <c r="O120" t="s">
        <v>23</v>
      </c>
      <c r="P120" t="s">
        <v>29</v>
      </c>
      <c r="Q120" t="s">
        <v>24</v>
      </c>
      <c r="R120" t="s">
        <v>23</v>
      </c>
      <c r="S120" t="s">
        <v>24</v>
      </c>
      <c r="T120" t="str">
        <f t="shared" si="2"/>
        <v>High risk</v>
      </c>
      <c r="U120" t="str">
        <f t="shared" si="3"/>
        <v>average</v>
      </c>
    </row>
    <row r="121" spans="1:21">
      <c r="A121" t="s">
        <v>157</v>
      </c>
      <c r="B121">
        <v>28</v>
      </c>
      <c r="C121">
        <v>134156</v>
      </c>
      <c r="D121">
        <v>584</v>
      </c>
      <c r="E121">
        <v>0.67089212535893805</v>
      </c>
      <c r="F121">
        <v>2</v>
      </c>
      <c r="G121">
        <v>0</v>
      </c>
      <c r="H121">
        <v>30509</v>
      </c>
      <c r="I121">
        <v>0.25159429806722</v>
      </c>
      <c r="J121" t="s">
        <v>43</v>
      </c>
      <c r="K121">
        <v>1</v>
      </c>
      <c r="L121" t="s">
        <v>45</v>
      </c>
      <c r="M121" t="s">
        <v>38</v>
      </c>
      <c r="N121" t="s">
        <v>23</v>
      </c>
      <c r="O121" t="s">
        <v>24</v>
      </c>
      <c r="P121" t="s">
        <v>23</v>
      </c>
      <c r="Q121" t="s">
        <v>23</v>
      </c>
      <c r="R121" t="s">
        <v>29</v>
      </c>
      <c r="S121" t="s">
        <v>24</v>
      </c>
      <c r="T121" t="str">
        <f t="shared" si="2"/>
        <v>Medium risk</v>
      </c>
      <c r="U121" t="str">
        <f t="shared" si="3"/>
        <v>average</v>
      </c>
    </row>
    <row r="122" spans="1:21">
      <c r="A122" t="s">
        <v>158</v>
      </c>
      <c r="B122">
        <v>68</v>
      </c>
      <c r="C122">
        <v>190333</v>
      </c>
      <c r="D122">
        <v>526</v>
      </c>
      <c r="E122">
        <v>0.60970597170695395</v>
      </c>
      <c r="F122">
        <v>2</v>
      </c>
      <c r="G122">
        <v>0</v>
      </c>
      <c r="I122">
        <v>0.1</v>
      </c>
      <c r="J122" t="s">
        <v>20</v>
      </c>
      <c r="K122">
        <v>3</v>
      </c>
      <c r="L122" t="s">
        <v>27</v>
      </c>
      <c r="M122" t="s">
        <v>53</v>
      </c>
      <c r="N122" t="s">
        <v>24</v>
      </c>
      <c r="O122" t="s">
        <v>29</v>
      </c>
      <c r="P122" t="s">
        <v>24</v>
      </c>
      <c r="Q122" t="s">
        <v>29</v>
      </c>
      <c r="R122" t="s">
        <v>29</v>
      </c>
      <c r="S122" t="s">
        <v>24</v>
      </c>
      <c r="T122" t="str">
        <f t="shared" si="2"/>
        <v>Medium risk</v>
      </c>
      <c r="U122" t="str">
        <f t="shared" si="3"/>
        <v>poor</v>
      </c>
    </row>
    <row r="123" spans="1:21">
      <c r="A123" t="s">
        <v>159</v>
      </c>
      <c r="B123">
        <v>34</v>
      </c>
      <c r="C123">
        <v>125226</v>
      </c>
      <c r="D123">
        <v>354</v>
      </c>
      <c r="E123">
        <v>0.31551346279770398</v>
      </c>
      <c r="F123">
        <v>3</v>
      </c>
      <c r="G123">
        <v>0</v>
      </c>
      <c r="H123">
        <v>35598</v>
      </c>
      <c r="I123">
        <v>0.35790077001492598</v>
      </c>
      <c r="J123" t="s">
        <v>40</v>
      </c>
      <c r="K123">
        <v>5</v>
      </c>
      <c r="L123" t="s">
        <v>21</v>
      </c>
      <c r="M123" t="s">
        <v>38</v>
      </c>
      <c r="N123" t="s">
        <v>23</v>
      </c>
      <c r="O123" t="s">
        <v>29</v>
      </c>
      <c r="P123" t="s">
        <v>29</v>
      </c>
      <c r="Q123" t="s">
        <v>23</v>
      </c>
      <c r="R123" t="s">
        <v>24</v>
      </c>
      <c r="S123" t="s">
        <v>29</v>
      </c>
      <c r="T123" t="str">
        <f t="shared" si="2"/>
        <v>Medium risk</v>
      </c>
      <c r="U123" t="str">
        <f t="shared" si="3"/>
        <v>average</v>
      </c>
    </row>
    <row r="124" spans="1:21">
      <c r="A124" t="s">
        <v>160</v>
      </c>
      <c r="B124">
        <v>25</v>
      </c>
      <c r="C124">
        <v>80953</v>
      </c>
      <c r="D124">
        <v>623</v>
      </c>
      <c r="E124">
        <v>0.80423442755294805</v>
      </c>
      <c r="F124">
        <v>1</v>
      </c>
      <c r="G124">
        <v>1</v>
      </c>
      <c r="H124">
        <v>71588</v>
      </c>
      <c r="I124">
        <v>0.43899640686042002</v>
      </c>
      <c r="J124" t="s">
        <v>20</v>
      </c>
      <c r="K124">
        <v>17</v>
      </c>
      <c r="L124" t="s">
        <v>37</v>
      </c>
      <c r="M124" t="s">
        <v>32</v>
      </c>
      <c r="N124" t="s">
        <v>29</v>
      </c>
      <c r="O124" t="s">
        <v>29</v>
      </c>
      <c r="P124" t="s">
        <v>24</v>
      </c>
      <c r="Q124" t="s">
        <v>24</v>
      </c>
      <c r="R124" t="s">
        <v>29</v>
      </c>
      <c r="S124" t="s">
        <v>24</v>
      </c>
      <c r="T124" t="str">
        <f t="shared" si="2"/>
        <v>High risk</v>
      </c>
      <c r="U124" t="str">
        <f t="shared" si="3"/>
        <v>poor</v>
      </c>
    </row>
    <row r="125" spans="1:21">
      <c r="A125" t="s">
        <v>161</v>
      </c>
      <c r="B125">
        <v>52</v>
      </c>
      <c r="C125">
        <v>129692</v>
      </c>
      <c r="D125">
        <v>522</v>
      </c>
      <c r="E125">
        <v>0.76965601318527899</v>
      </c>
      <c r="F125">
        <v>0</v>
      </c>
      <c r="G125">
        <v>0</v>
      </c>
      <c r="H125">
        <v>36955</v>
      </c>
      <c r="I125">
        <v>0.26962402184802198</v>
      </c>
      <c r="J125" t="s">
        <v>26</v>
      </c>
      <c r="K125">
        <v>5</v>
      </c>
      <c r="L125" t="s">
        <v>45</v>
      </c>
      <c r="M125" t="s">
        <v>53</v>
      </c>
      <c r="N125" t="s">
        <v>23</v>
      </c>
      <c r="O125" t="s">
        <v>29</v>
      </c>
      <c r="P125" t="s">
        <v>29</v>
      </c>
      <c r="Q125" t="s">
        <v>23</v>
      </c>
      <c r="R125" t="s">
        <v>29</v>
      </c>
      <c r="S125" t="s">
        <v>23</v>
      </c>
      <c r="T125" t="str">
        <f t="shared" si="2"/>
        <v>low risk</v>
      </c>
      <c r="U125" t="str">
        <f t="shared" si="3"/>
        <v>good</v>
      </c>
    </row>
    <row r="126" spans="1:21">
      <c r="A126" t="s">
        <v>162</v>
      </c>
      <c r="B126">
        <v>52</v>
      </c>
      <c r="C126">
        <v>199402</v>
      </c>
      <c r="D126">
        <v>427</v>
      </c>
      <c r="E126">
        <v>0.35339878734467101</v>
      </c>
      <c r="F126">
        <v>0</v>
      </c>
      <c r="G126">
        <v>1</v>
      </c>
      <c r="I126">
        <v>0.22949625198603299</v>
      </c>
      <c r="J126" t="s">
        <v>20</v>
      </c>
      <c r="K126">
        <v>16</v>
      </c>
      <c r="L126" t="s">
        <v>31</v>
      </c>
      <c r="M126" t="s">
        <v>32</v>
      </c>
      <c r="N126" t="s">
        <v>29</v>
      </c>
      <c r="O126" t="s">
        <v>29</v>
      </c>
      <c r="P126" t="s">
        <v>23</v>
      </c>
      <c r="Q126" t="s">
        <v>29</v>
      </c>
      <c r="R126" t="s">
        <v>24</v>
      </c>
      <c r="S126" t="s">
        <v>24</v>
      </c>
      <c r="T126" t="str">
        <f t="shared" si="2"/>
        <v>High risk</v>
      </c>
      <c r="U126" t="str">
        <f t="shared" si="3"/>
        <v>average</v>
      </c>
    </row>
    <row r="127" spans="1:21">
      <c r="A127" t="s">
        <v>163</v>
      </c>
      <c r="B127">
        <v>50</v>
      </c>
      <c r="C127">
        <v>90880</v>
      </c>
      <c r="D127">
        <v>800</v>
      </c>
      <c r="E127">
        <v>0.351341999407006</v>
      </c>
      <c r="F127">
        <v>4</v>
      </c>
      <c r="G127">
        <v>1</v>
      </c>
      <c r="H127">
        <v>89537</v>
      </c>
      <c r="I127">
        <v>0.25627405946222998</v>
      </c>
      <c r="J127" t="s">
        <v>43</v>
      </c>
      <c r="K127">
        <v>13</v>
      </c>
      <c r="L127" t="s">
        <v>37</v>
      </c>
      <c r="M127" t="s">
        <v>22</v>
      </c>
      <c r="N127" t="s">
        <v>29</v>
      </c>
      <c r="O127" t="s">
        <v>29</v>
      </c>
      <c r="P127" t="s">
        <v>24</v>
      </c>
      <c r="Q127" t="s">
        <v>23</v>
      </c>
      <c r="R127" t="s">
        <v>29</v>
      </c>
      <c r="S127" t="s">
        <v>23</v>
      </c>
      <c r="T127" t="str">
        <f t="shared" si="2"/>
        <v>High risk</v>
      </c>
      <c r="U127" t="str">
        <f t="shared" si="3"/>
        <v>average</v>
      </c>
    </row>
    <row r="128" spans="1:21">
      <c r="A128" t="s">
        <v>164</v>
      </c>
      <c r="B128">
        <v>22</v>
      </c>
      <c r="C128">
        <v>118081</v>
      </c>
      <c r="D128">
        <v>623</v>
      </c>
      <c r="E128">
        <v>0.38143441252410198</v>
      </c>
      <c r="F128">
        <v>4</v>
      </c>
      <c r="G128">
        <v>0</v>
      </c>
      <c r="H128">
        <v>16034</v>
      </c>
      <c r="I128">
        <v>0.38502053671312297</v>
      </c>
      <c r="J128" t="s">
        <v>20</v>
      </c>
      <c r="K128">
        <v>10</v>
      </c>
      <c r="L128" t="s">
        <v>21</v>
      </c>
      <c r="M128" t="s">
        <v>22</v>
      </c>
      <c r="N128" t="s">
        <v>23</v>
      </c>
      <c r="O128" t="s">
        <v>29</v>
      </c>
      <c r="P128" t="s">
        <v>23</v>
      </c>
      <c r="Q128" t="s">
        <v>24</v>
      </c>
      <c r="R128" t="s">
        <v>23</v>
      </c>
      <c r="S128" t="s">
        <v>29</v>
      </c>
      <c r="T128" t="str">
        <f t="shared" si="2"/>
        <v>Medium risk</v>
      </c>
      <c r="U128" t="str">
        <f t="shared" si="3"/>
        <v>average</v>
      </c>
    </row>
    <row r="129" spans="1:21">
      <c r="A129" t="s">
        <v>165</v>
      </c>
      <c r="B129">
        <v>59</v>
      </c>
      <c r="C129">
        <v>115497</v>
      </c>
      <c r="D129">
        <v>693</v>
      </c>
      <c r="E129">
        <v>0.39853344492228998</v>
      </c>
      <c r="F129">
        <v>0</v>
      </c>
      <c r="G129">
        <v>0</v>
      </c>
      <c r="H129">
        <v>89537</v>
      </c>
      <c r="I129">
        <v>0.25455390587150101</v>
      </c>
      <c r="J129" t="s">
        <v>34</v>
      </c>
      <c r="K129">
        <v>18</v>
      </c>
      <c r="L129" t="s">
        <v>27</v>
      </c>
      <c r="M129" t="s">
        <v>28</v>
      </c>
      <c r="N129" t="s">
        <v>29</v>
      </c>
      <c r="O129" t="s">
        <v>23</v>
      </c>
      <c r="P129" t="s">
        <v>23</v>
      </c>
      <c r="Q129" t="s">
        <v>24</v>
      </c>
      <c r="R129" t="s">
        <v>24</v>
      </c>
      <c r="S129" t="s">
        <v>23</v>
      </c>
      <c r="T129" t="str">
        <f t="shared" si="2"/>
        <v>low risk</v>
      </c>
      <c r="U129" t="str">
        <f t="shared" si="3"/>
        <v>average</v>
      </c>
    </row>
    <row r="130" spans="1:21">
      <c r="A130" t="s">
        <v>166</v>
      </c>
      <c r="B130">
        <v>56</v>
      </c>
      <c r="C130">
        <v>199402</v>
      </c>
      <c r="D130">
        <v>777</v>
      </c>
      <c r="E130">
        <v>0.69010760158568796</v>
      </c>
      <c r="F130">
        <v>2</v>
      </c>
      <c r="G130">
        <v>1</v>
      </c>
      <c r="H130">
        <v>96507</v>
      </c>
      <c r="I130">
        <v>0.33287603003428401</v>
      </c>
      <c r="J130" t="s">
        <v>50</v>
      </c>
      <c r="K130">
        <v>1</v>
      </c>
      <c r="L130" t="s">
        <v>37</v>
      </c>
      <c r="M130" t="s">
        <v>22</v>
      </c>
      <c r="N130" t="s">
        <v>23</v>
      </c>
      <c r="O130" t="s">
        <v>24</v>
      </c>
      <c r="P130" t="s">
        <v>29</v>
      </c>
      <c r="Q130" t="s">
        <v>24</v>
      </c>
      <c r="R130" t="s">
        <v>24</v>
      </c>
      <c r="S130" t="s">
        <v>24</v>
      </c>
      <c r="T130" t="str">
        <f t="shared" si="2"/>
        <v>High risk</v>
      </c>
      <c r="U130" t="str">
        <f t="shared" si="3"/>
        <v>poor</v>
      </c>
    </row>
    <row r="131" spans="1:21">
      <c r="A131" t="s">
        <v>167</v>
      </c>
      <c r="B131">
        <v>58</v>
      </c>
      <c r="C131">
        <v>166836</v>
      </c>
      <c r="D131">
        <v>781</v>
      </c>
      <c r="E131">
        <v>0.58506581209531805</v>
      </c>
      <c r="F131">
        <v>5</v>
      </c>
      <c r="G131">
        <v>0</v>
      </c>
      <c r="H131">
        <v>76445</v>
      </c>
      <c r="I131">
        <v>0.302780291573994</v>
      </c>
      <c r="J131" t="s">
        <v>26</v>
      </c>
      <c r="K131">
        <v>2</v>
      </c>
      <c r="L131" t="s">
        <v>37</v>
      </c>
      <c r="M131" t="s">
        <v>32</v>
      </c>
      <c r="N131" t="s">
        <v>29</v>
      </c>
      <c r="O131" t="s">
        <v>29</v>
      </c>
      <c r="P131" t="s">
        <v>24</v>
      </c>
      <c r="Q131" t="s">
        <v>24</v>
      </c>
      <c r="R131" t="s">
        <v>23</v>
      </c>
      <c r="S131" t="s">
        <v>24</v>
      </c>
      <c r="T131" t="str">
        <f t="shared" ref="T131:T194" si="4">IF(G131=1,"High risk", IF(F131&gt;= 2, "Medium risk", "low risk"))</f>
        <v>Medium risk</v>
      </c>
      <c r="U131" t="str">
        <f t="shared" ref="U131:U194" si="5">IF(COUNTIF(N131:S131,"Missed") &gt;= 3, "poor", IF(COUNTIF(N131:S131,"Missed") &gt;= 1, "average", "good"))</f>
        <v>poor</v>
      </c>
    </row>
    <row r="132" spans="1:21">
      <c r="A132" t="s">
        <v>168</v>
      </c>
      <c r="B132">
        <v>45</v>
      </c>
      <c r="C132">
        <v>187627</v>
      </c>
      <c r="D132">
        <v>766</v>
      </c>
      <c r="E132">
        <v>0.67541575387011699</v>
      </c>
      <c r="F132">
        <v>2</v>
      </c>
      <c r="G132">
        <v>0</v>
      </c>
      <c r="H132">
        <v>20052</v>
      </c>
      <c r="I132">
        <v>0.29246203875772298</v>
      </c>
      <c r="J132" t="s">
        <v>20</v>
      </c>
      <c r="K132">
        <v>10</v>
      </c>
      <c r="L132" t="s">
        <v>45</v>
      </c>
      <c r="M132" t="s">
        <v>22</v>
      </c>
      <c r="N132" t="s">
        <v>29</v>
      </c>
      <c r="O132" t="s">
        <v>29</v>
      </c>
      <c r="P132" t="s">
        <v>29</v>
      </c>
      <c r="Q132" t="s">
        <v>29</v>
      </c>
      <c r="R132" t="s">
        <v>24</v>
      </c>
      <c r="S132" t="s">
        <v>23</v>
      </c>
      <c r="T132" t="str">
        <f t="shared" si="4"/>
        <v>Medium risk</v>
      </c>
      <c r="U132" t="str">
        <f t="shared" si="5"/>
        <v>average</v>
      </c>
    </row>
    <row r="133" spans="1:21">
      <c r="A133" t="s">
        <v>169</v>
      </c>
      <c r="B133">
        <v>24</v>
      </c>
      <c r="C133">
        <v>73141</v>
      </c>
      <c r="D133">
        <v>717</v>
      </c>
      <c r="E133">
        <v>0.63471302863734003</v>
      </c>
      <c r="F133">
        <v>4</v>
      </c>
      <c r="G133">
        <v>0</v>
      </c>
      <c r="H133">
        <v>36913</v>
      </c>
      <c r="I133">
        <v>0.37012923267522302</v>
      </c>
      <c r="J133" t="s">
        <v>43</v>
      </c>
      <c r="K133">
        <v>5</v>
      </c>
      <c r="L133" t="s">
        <v>31</v>
      </c>
      <c r="M133" t="s">
        <v>53</v>
      </c>
      <c r="N133" t="s">
        <v>23</v>
      </c>
      <c r="O133" t="s">
        <v>23</v>
      </c>
      <c r="P133" t="s">
        <v>24</v>
      </c>
      <c r="Q133" t="s">
        <v>23</v>
      </c>
      <c r="R133" t="s">
        <v>24</v>
      </c>
      <c r="S133" t="s">
        <v>29</v>
      </c>
      <c r="T133" t="str">
        <f t="shared" si="4"/>
        <v>Medium risk</v>
      </c>
      <c r="U133" t="str">
        <f t="shared" si="5"/>
        <v>average</v>
      </c>
    </row>
    <row r="134" spans="1:21">
      <c r="A134" t="s">
        <v>170</v>
      </c>
      <c r="B134">
        <v>26</v>
      </c>
      <c r="C134">
        <v>180983</v>
      </c>
      <c r="D134">
        <v>427</v>
      </c>
      <c r="E134">
        <v>0.84290541363874605</v>
      </c>
      <c r="F134">
        <v>3</v>
      </c>
      <c r="G134">
        <v>0</v>
      </c>
      <c r="H134">
        <v>77209</v>
      </c>
      <c r="I134">
        <v>0.25214201001358</v>
      </c>
      <c r="J134" t="s">
        <v>50</v>
      </c>
      <c r="K134">
        <v>13</v>
      </c>
      <c r="L134" t="s">
        <v>31</v>
      </c>
      <c r="M134" t="s">
        <v>22</v>
      </c>
      <c r="N134" t="s">
        <v>24</v>
      </c>
      <c r="O134" t="s">
        <v>23</v>
      </c>
      <c r="P134" t="s">
        <v>24</v>
      </c>
      <c r="Q134" t="s">
        <v>23</v>
      </c>
      <c r="R134" t="s">
        <v>24</v>
      </c>
      <c r="S134" t="s">
        <v>23</v>
      </c>
      <c r="T134" t="str">
        <f t="shared" si="4"/>
        <v>Medium risk</v>
      </c>
      <c r="U134" t="str">
        <f t="shared" si="5"/>
        <v>poor</v>
      </c>
    </row>
    <row r="135" spans="1:21">
      <c r="A135" t="s">
        <v>171</v>
      </c>
      <c r="B135">
        <v>25</v>
      </c>
      <c r="C135">
        <v>168772</v>
      </c>
      <c r="D135">
        <v>388</v>
      </c>
      <c r="E135">
        <v>0.28812289123817098</v>
      </c>
      <c r="F135">
        <v>0</v>
      </c>
      <c r="G135">
        <v>1</v>
      </c>
      <c r="H135">
        <v>94363</v>
      </c>
      <c r="I135">
        <v>0.25694134398177199</v>
      </c>
      <c r="J135" t="s">
        <v>26</v>
      </c>
      <c r="K135">
        <v>18</v>
      </c>
      <c r="L135" t="s">
        <v>27</v>
      </c>
      <c r="M135" t="s">
        <v>28</v>
      </c>
      <c r="N135" t="s">
        <v>24</v>
      </c>
      <c r="O135" t="s">
        <v>29</v>
      </c>
      <c r="P135" t="s">
        <v>29</v>
      </c>
      <c r="Q135" t="s">
        <v>24</v>
      </c>
      <c r="R135" t="s">
        <v>24</v>
      </c>
      <c r="S135" t="s">
        <v>24</v>
      </c>
      <c r="T135" t="str">
        <f t="shared" si="4"/>
        <v>High risk</v>
      </c>
      <c r="U135" t="str">
        <f t="shared" si="5"/>
        <v>poor</v>
      </c>
    </row>
    <row r="136" spans="1:21">
      <c r="A136" t="s">
        <v>172</v>
      </c>
      <c r="B136">
        <v>29</v>
      </c>
      <c r="C136">
        <v>16252</v>
      </c>
      <c r="D136">
        <v>441</v>
      </c>
      <c r="E136">
        <v>0.57607170607678304</v>
      </c>
      <c r="F136">
        <v>4</v>
      </c>
      <c r="G136">
        <v>0</v>
      </c>
      <c r="H136">
        <v>96056</v>
      </c>
      <c r="I136">
        <v>0.379760284999975</v>
      </c>
      <c r="J136" t="s">
        <v>43</v>
      </c>
      <c r="K136">
        <v>15</v>
      </c>
      <c r="L136" t="s">
        <v>21</v>
      </c>
      <c r="M136" t="s">
        <v>22</v>
      </c>
      <c r="N136" t="s">
        <v>23</v>
      </c>
      <c r="O136" t="s">
        <v>29</v>
      </c>
      <c r="P136" t="s">
        <v>23</v>
      </c>
      <c r="Q136" t="s">
        <v>29</v>
      </c>
      <c r="R136" t="s">
        <v>24</v>
      </c>
      <c r="S136" t="s">
        <v>23</v>
      </c>
      <c r="T136" t="str">
        <f t="shared" si="4"/>
        <v>Medium risk</v>
      </c>
      <c r="U136" t="str">
        <f t="shared" si="5"/>
        <v>average</v>
      </c>
    </row>
    <row r="137" spans="1:21">
      <c r="A137" t="s">
        <v>173</v>
      </c>
      <c r="B137">
        <v>51</v>
      </c>
      <c r="C137">
        <v>118333</v>
      </c>
      <c r="D137">
        <v>346</v>
      </c>
      <c r="E137">
        <v>6.5235748753060402E-2</v>
      </c>
      <c r="F137">
        <v>4</v>
      </c>
      <c r="G137">
        <v>0</v>
      </c>
      <c r="H137">
        <v>20081</v>
      </c>
      <c r="I137">
        <v>0.201307467583134</v>
      </c>
      <c r="J137" t="s">
        <v>40</v>
      </c>
      <c r="K137">
        <v>6</v>
      </c>
      <c r="L137" t="s">
        <v>27</v>
      </c>
      <c r="M137" t="s">
        <v>32</v>
      </c>
      <c r="N137" t="s">
        <v>29</v>
      </c>
      <c r="O137" t="s">
        <v>29</v>
      </c>
      <c r="P137" t="s">
        <v>24</v>
      </c>
      <c r="Q137" t="s">
        <v>24</v>
      </c>
      <c r="R137" t="s">
        <v>24</v>
      </c>
      <c r="S137" t="s">
        <v>23</v>
      </c>
      <c r="T137" t="str">
        <f t="shared" si="4"/>
        <v>Medium risk</v>
      </c>
      <c r="U137" t="str">
        <f t="shared" si="5"/>
        <v>poor</v>
      </c>
    </row>
    <row r="138" spans="1:21">
      <c r="A138" t="s">
        <v>174</v>
      </c>
      <c r="B138">
        <v>50</v>
      </c>
      <c r="C138">
        <v>192247</v>
      </c>
      <c r="D138">
        <v>387</v>
      </c>
      <c r="E138">
        <v>0.236608885180628</v>
      </c>
      <c r="F138">
        <v>5</v>
      </c>
      <c r="G138">
        <v>0</v>
      </c>
      <c r="H138">
        <v>28730</v>
      </c>
      <c r="I138">
        <v>0.21197798091776701</v>
      </c>
      <c r="J138" t="s">
        <v>34</v>
      </c>
      <c r="K138">
        <v>7</v>
      </c>
      <c r="L138" t="s">
        <v>37</v>
      </c>
      <c r="M138" t="s">
        <v>32</v>
      </c>
      <c r="N138" t="s">
        <v>24</v>
      </c>
      <c r="O138" t="s">
        <v>24</v>
      </c>
      <c r="P138" t="s">
        <v>29</v>
      </c>
      <c r="Q138" t="s">
        <v>24</v>
      </c>
      <c r="R138" t="s">
        <v>29</v>
      </c>
      <c r="S138" t="s">
        <v>29</v>
      </c>
      <c r="T138" t="str">
        <f t="shared" si="4"/>
        <v>Medium risk</v>
      </c>
      <c r="U138" t="str">
        <f t="shared" si="5"/>
        <v>poor</v>
      </c>
    </row>
    <row r="139" spans="1:21">
      <c r="A139" t="s">
        <v>175</v>
      </c>
      <c r="B139">
        <v>65</v>
      </c>
      <c r="C139">
        <v>199294</v>
      </c>
      <c r="D139">
        <v>505</v>
      </c>
      <c r="E139">
        <v>0.48502932281303002</v>
      </c>
      <c r="F139">
        <v>0</v>
      </c>
      <c r="G139">
        <v>0</v>
      </c>
      <c r="H139">
        <v>85107</v>
      </c>
      <c r="I139">
        <v>0.17396857086563999</v>
      </c>
      <c r="J139" t="s">
        <v>40</v>
      </c>
      <c r="K139">
        <v>18</v>
      </c>
      <c r="L139" t="s">
        <v>37</v>
      </c>
      <c r="M139" t="s">
        <v>22</v>
      </c>
      <c r="N139" t="s">
        <v>23</v>
      </c>
      <c r="O139" t="s">
        <v>23</v>
      </c>
      <c r="P139" t="s">
        <v>24</v>
      </c>
      <c r="Q139" t="s">
        <v>24</v>
      </c>
      <c r="R139" t="s">
        <v>29</v>
      </c>
      <c r="S139" t="s">
        <v>29</v>
      </c>
      <c r="T139" t="str">
        <f t="shared" si="4"/>
        <v>low risk</v>
      </c>
      <c r="U139" t="str">
        <f t="shared" si="5"/>
        <v>average</v>
      </c>
    </row>
    <row r="140" spans="1:21">
      <c r="A140" t="s">
        <v>176</v>
      </c>
      <c r="B140">
        <v>72</v>
      </c>
      <c r="C140">
        <v>138961</v>
      </c>
      <c r="D140">
        <v>402</v>
      </c>
      <c r="E140">
        <v>0.58364132255090695</v>
      </c>
      <c r="F140">
        <v>5</v>
      </c>
      <c r="G140">
        <v>1</v>
      </c>
      <c r="H140">
        <v>42556</v>
      </c>
      <c r="I140">
        <v>0.38490109132765499</v>
      </c>
      <c r="J140" t="s">
        <v>34</v>
      </c>
      <c r="K140">
        <v>19</v>
      </c>
      <c r="L140" t="s">
        <v>31</v>
      </c>
      <c r="M140" t="s">
        <v>32</v>
      </c>
      <c r="N140" t="s">
        <v>24</v>
      </c>
      <c r="O140" t="s">
        <v>29</v>
      </c>
      <c r="P140" t="s">
        <v>29</v>
      </c>
      <c r="Q140" t="s">
        <v>23</v>
      </c>
      <c r="R140" t="s">
        <v>23</v>
      </c>
      <c r="S140" t="s">
        <v>29</v>
      </c>
      <c r="T140" t="str">
        <f t="shared" si="4"/>
        <v>High risk</v>
      </c>
      <c r="U140" t="str">
        <f t="shared" si="5"/>
        <v>average</v>
      </c>
    </row>
    <row r="141" spans="1:21">
      <c r="A141" t="s">
        <v>177</v>
      </c>
      <c r="B141">
        <v>40</v>
      </c>
      <c r="C141">
        <v>129548</v>
      </c>
      <c r="D141">
        <v>794</v>
      </c>
      <c r="E141">
        <v>0.47963685159408598</v>
      </c>
      <c r="F141">
        <v>0</v>
      </c>
      <c r="G141">
        <v>0</v>
      </c>
      <c r="H141">
        <v>16693</v>
      </c>
      <c r="I141">
        <v>0.28947630319187301</v>
      </c>
      <c r="J141" t="s">
        <v>20</v>
      </c>
      <c r="K141">
        <v>15</v>
      </c>
      <c r="L141" t="s">
        <v>21</v>
      </c>
      <c r="M141" t="s">
        <v>32</v>
      </c>
      <c r="N141" t="s">
        <v>29</v>
      </c>
      <c r="O141" t="s">
        <v>29</v>
      </c>
      <c r="P141" t="s">
        <v>29</v>
      </c>
      <c r="Q141" t="s">
        <v>23</v>
      </c>
      <c r="R141" t="s">
        <v>23</v>
      </c>
      <c r="S141" t="s">
        <v>29</v>
      </c>
      <c r="T141" t="str">
        <f t="shared" si="4"/>
        <v>low risk</v>
      </c>
      <c r="U141" t="str">
        <f t="shared" si="5"/>
        <v>good</v>
      </c>
    </row>
    <row r="142" spans="1:21">
      <c r="A142" t="s">
        <v>178</v>
      </c>
      <c r="B142">
        <v>41</v>
      </c>
      <c r="C142">
        <v>58088</v>
      </c>
      <c r="D142">
        <v>567</v>
      </c>
      <c r="E142">
        <v>0.38656151623746399</v>
      </c>
      <c r="F142">
        <v>5</v>
      </c>
      <c r="G142">
        <v>0</v>
      </c>
      <c r="H142">
        <v>10951</v>
      </c>
      <c r="I142">
        <v>0.168638485392093</v>
      </c>
      <c r="J142" t="s">
        <v>26</v>
      </c>
      <c r="K142">
        <v>6</v>
      </c>
      <c r="L142" t="s">
        <v>45</v>
      </c>
      <c r="M142" t="s">
        <v>28</v>
      </c>
      <c r="N142" t="s">
        <v>29</v>
      </c>
      <c r="O142" t="s">
        <v>23</v>
      </c>
      <c r="P142" t="s">
        <v>24</v>
      </c>
      <c r="Q142" t="s">
        <v>29</v>
      </c>
      <c r="R142" t="s">
        <v>24</v>
      </c>
      <c r="S142" t="s">
        <v>29</v>
      </c>
      <c r="T142" t="str">
        <f t="shared" si="4"/>
        <v>Medium risk</v>
      </c>
      <c r="U142" t="str">
        <f t="shared" si="5"/>
        <v>average</v>
      </c>
    </row>
    <row r="143" spans="1:21">
      <c r="A143" t="s">
        <v>179</v>
      </c>
      <c r="B143">
        <v>54</v>
      </c>
      <c r="C143">
        <v>30485</v>
      </c>
      <c r="D143">
        <v>617</v>
      </c>
      <c r="E143">
        <v>0.42211642450139197</v>
      </c>
      <c r="F143">
        <v>2</v>
      </c>
      <c r="G143">
        <v>0</v>
      </c>
      <c r="H143">
        <v>76861</v>
      </c>
      <c r="I143">
        <v>0.38538085623090601</v>
      </c>
      <c r="J143" t="s">
        <v>20</v>
      </c>
      <c r="K143">
        <v>8</v>
      </c>
      <c r="L143" t="s">
        <v>21</v>
      </c>
      <c r="M143" t="s">
        <v>53</v>
      </c>
      <c r="N143" t="s">
        <v>23</v>
      </c>
      <c r="O143" t="s">
        <v>29</v>
      </c>
      <c r="P143" t="s">
        <v>24</v>
      </c>
      <c r="Q143" t="s">
        <v>23</v>
      </c>
      <c r="R143" t="s">
        <v>24</v>
      </c>
      <c r="S143" t="s">
        <v>23</v>
      </c>
      <c r="T143" t="str">
        <f t="shared" si="4"/>
        <v>Medium risk</v>
      </c>
      <c r="U143" t="str">
        <f t="shared" si="5"/>
        <v>average</v>
      </c>
    </row>
    <row r="144" spans="1:21">
      <c r="A144" t="s">
        <v>180</v>
      </c>
      <c r="B144">
        <v>52</v>
      </c>
      <c r="C144">
        <v>178165</v>
      </c>
      <c r="D144">
        <v>823</v>
      </c>
      <c r="E144">
        <v>0.77388819528482</v>
      </c>
      <c r="F144">
        <v>3</v>
      </c>
      <c r="G144">
        <v>0</v>
      </c>
      <c r="H144">
        <v>19977</v>
      </c>
      <c r="I144">
        <v>0.24444578384245599</v>
      </c>
      <c r="J144" t="s">
        <v>34</v>
      </c>
      <c r="K144">
        <v>12</v>
      </c>
      <c r="L144" t="s">
        <v>37</v>
      </c>
      <c r="M144" t="s">
        <v>28</v>
      </c>
      <c r="N144" t="s">
        <v>29</v>
      </c>
      <c r="O144" t="s">
        <v>23</v>
      </c>
      <c r="P144" t="s">
        <v>29</v>
      </c>
      <c r="Q144" t="s">
        <v>24</v>
      </c>
      <c r="R144" t="s">
        <v>29</v>
      </c>
      <c r="S144" t="s">
        <v>23</v>
      </c>
      <c r="T144" t="str">
        <f t="shared" si="4"/>
        <v>Medium risk</v>
      </c>
      <c r="U144" t="str">
        <f t="shared" si="5"/>
        <v>average</v>
      </c>
    </row>
    <row r="145" spans="1:21">
      <c r="A145" t="s">
        <v>181</v>
      </c>
      <c r="B145">
        <v>61</v>
      </c>
      <c r="C145">
        <v>77292</v>
      </c>
      <c r="D145">
        <v>414</v>
      </c>
      <c r="E145">
        <v>0.42319356442397099</v>
      </c>
      <c r="F145">
        <v>3</v>
      </c>
      <c r="G145">
        <v>1</v>
      </c>
      <c r="H145">
        <v>60348</v>
      </c>
      <c r="I145">
        <v>0.21283219211631099</v>
      </c>
      <c r="J145" t="s">
        <v>34</v>
      </c>
      <c r="K145">
        <v>0</v>
      </c>
      <c r="L145" t="s">
        <v>45</v>
      </c>
      <c r="M145" t="s">
        <v>38</v>
      </c>
      <c r="N145" t="s">
        <v>29</v>
      </c>
      <c r="O145" t="s">
        <v>23</v>
      </c>
      <c r="P145" t="s">
        <v>24</v>
      </c>
      <c r="Q145" t="s">
        <v>29</v>
      </c>
      <c r="R145" t="s">
        <v>29</v>
      </c>
      <c r="S145" t="s">
        <v>29</v>
      </c>
      <c r="T145" t="str">
        <f t="shared" si="4"/>
        <v>High risk</v>
      </c>
      <c r="U145" t="str">
        <f t="shared" si="5"/>
        <v>average</v>
      </c>
    </row>
    <row r="146" spans="1:21">
      <c r="A146" t="s">
        <v>182</v>
      </c>
      <c r="B146">
        <v>57</v>
      </c>
      <c r="D146">
        <v>694</v>
      </c>
      <c r="E146">
        <v>0.84984832440870495</v>
      </c>
      <c r="F146">
        <v>0</v>
      </c>
      <c r="G146">
        <v>0</v>
      </c>
      <c r="H146">
        <v>3494</v>
      </c>
      <c r="I146">
        <v>0.28043214411230399</v>
      </c>
      <c r="J146" t="s">
        <v>34</v>
      </c>
      <c r="K146">
        <v>7</v>
      </c>
      <c r="L146" t="s">
        <v>21</v>
      </c>
      <c r="M146" t="s">
        <v>28</v>
      </c>
      <c r="N146" t="s">
        <v>29</v>
      </c>
      <c r="O146" t="s">
        <v>24</v>
      </c>
      <c r="P146" t="s">
        <v>29</v>
      </c>
      <c r="Q146" t="s">
        <v>24</v>
      </c>
      <c r="R146" t="s">
        <v>23</v>
      </c>
      <c r="S146" t="s">
        <v>29</v>
      </c>
      <c r="T146" t="str">
        <f t="shared" si="4"/>
        <v>low risk</v>
      </c>
      <c r="U146" t="str">
        <f t="shared" si="5"/>
        <v>average</v>
      </c>
    </row>
    <row r="147" spans="1:21">
      <c r="A147" t="s">
        <v>183</v>
      </c>
      <c r="B147">
        <v>39</v>
      </c>
      <c r="C147">
        <v>41790</v>
      </c>
      <c r="D147">
        <v>681</v>
      </c>
      <c r="E147">
        <v>0.65880341470822601</v>
      </c>
      <c r="F147">
        <v>1</v>
      </c>
      <c r="G147">
        <v>0</v>
      </c>
      <c r="H147">
        <v>17913</v>
      </c>
      <c r="I147">
        <v>0.44787236094678901</v>
      </c>
      <c r="J147" t="s">
        <v>50</v>
      </c>
      <c r="K147">
        <v>3</v>
      </c>
      <c r="L147" t="s">
        <v>21</v>
      </c>
      <c r="M147" t="s">
        <v>22</v>
      </c>
      <c r="N147" t="s">
        <v>24</v>
      </c>
      <c r="O147" t="s">
        <v>23</v>
      </c>
      <c r="P147" t="s">
        <v>29</v>
      </c>
      <c r="Q147" t="s">
        <v>23</v>
      </c>
      <c r="R147" t="s">
        <v>23</v>
      </c>
      <c r="S147" t="s">
        <v>24</v>
      </c>
      <c r="T147" t="str">
        <f t="shared" si="4"/>
        <v>low risk</v>
      </c>
      <c r="U147" t="str">
        <f t="shared" si="5"/>
        <v>average</v>
      </c>
    </row>
    <row r="148" spans="1:21">
      <c r="A148" t="s">
        <v>184</v>
      </c>
      <c r="B148">
        <v>44</v>
      </c>
      <c r="C148">
        <v>31364</v>
      </c>
      <c r="D148">
        <v>757</v>
      </c>
      <c r="E148">
        <v>0.59150746922964603</v>
      </c>
      <c r="F148">
        <v>6</v>
      </c>
      <c r="G148">
        <v>0</v>
      </c>
      <c r="H148">
        <v>10942</v>
      </c>
      <c r="I148">
        <v>0.260503780350342</v>
      </c>
      <c r="J148" t="s">
        <v>43</v>
      </c>
      <c r="K148">
        <v>2</v>
      </c>
      <c r="L148" t="s">
        <v>45</v>
      </c>
      <c r="M148" t="s">
        <v>53</v>
      </c>
      <c r="N148" t="s">
        <v>23</v>
      </c>
      <c r="O148" t="s">
        <v>29</v>
      </c>
      <c r="P148" t="s">
        <v>23</v>
      </c>
      <c r="Q148" t="s">
        <v>24</v>
      </c>
      <c r="R148" t="s">
        <v>23</v>
      </c>
      <c r="S148" t="s">
        <v>29</v>
      </c>
      <c r="T148" t="str">
        <f t="shared" si="4"/>
        <v>Medium risk</v>
      </c>
      <c r="U148" t="str">
        <f t="shared" si="5"/>
        <v>average</v>
      </c>
    </row>
    <row r="149" spans="1:21">
      <c r="A149" t="s">
        <v>185</v>
      </c>
      <c r="B149">
        <v>52</v>
      </c>
      <c r="C149">
        <v>129692</v>
      </c>
      <c r="D149">
        <v>826</v>
      </c>
      <c r="E149">
        <v>0.26128061793579999</v>
      </c>
      <c r="F149">
        <v>4</v>
      </c>
      <c r="G149">
        <v>1</v>
      </c>
      <c r="H149">
        <v>5539</v>
      </c>
      <c r="I149">
        <v>0.35753388641155798</v>
      </c>
      <c r="J149" t="s">
        <v>26</v>
      </c>
      <c r="K149">
        <v>2</v>
      </c>
      <c r="L149" t="s">
        <v>37</v>
      </c>
      <c r="M149" t="s">
        <v>22</v>
      </c>
      <c r="N149" t="s">
        <v>24</v>
      </c>
      <c r="O149" t="s">
        <v>23</v>
      </c>
      <c r="P149" t="s">
        <v>24</v>
      </c>
      <c r="Q149" t="s">
        <v>23</v>
      </c>
      <c r="R149" t="s">
        <v>23</v>
      </c>
      <c r="S149" t="s">
        <v>23</v>
      </c>
      <c r="T149" t="str">
        <f t="shared" si="4"/>
        <v>High risk</v>
      </c>
      <c r="U149" t="str">
        <f t="shared" si="5"/>
        <v>average</v>
      </c>
    </row>
    <row r="150" spans="1:21">
      <c r="A150" t="s">
        <v>186</v>
      </c>
      <c r="B150">
        <v>18</v>
      </c>
      <c r="C150">
        <v>15404</v>
      </c>
      <c r="D150">
        <v>588</v>
      </c>
      <c r="E150">
        <v>0.68704763227992505</v>
      </c>
      <c r="F150">
        <v>4</v>
      </c>
      <c r="G150">
        <v>0</v>
      </c>
      <c r="H150">
        <v>91432</v>
      </c>
      <c r="I150">
        <v>0.37270800204509502</v>
      </c>
      <c r="J150" t="s">
        <v>20</v>
      </c>
      <c r="K150">
        <v>12</v>
      </c>
      <c r="L150" t="s">
        <v>21</v>
      </c>
      <c r="M150" t="s">
        <v>38</v>
      </c>
      <c r="N150" t="s">
        <v>29</v>
      </c>
      <c r="O150" t="s">
        <v>29</v>
      </c>
      <c r="P150" t="s">
        <v>29</v>
      </c>
      <c r="Q150" t="s">
        <v>23</v>
      </c>
      <c r="R150" t="s">
        <v>29</v>
      </c>
      <c r="S150" t="s">
        <v>29</v>
      </c>
      <c r="T150" t="str">
        <f t="shared" si="4"/>
        <v>Medium risk</v>
      </c>
      <c r="U150" t="str">
        <f t="shared" si="5"/>
        <v>good</v>
      </c>
    </row>
    <row r="151" spans="1:21">
      <c r="A151" t="s">
        <v>187</v>
      </c>
      <c r="B151">
        <v>52</v>
      </c>
      <c r="C151">
        <v>32955</v>
      </c>
      <c r="D151">
        <v>302</v>
      </c>
      <c r="E151">
        <v>0.40124588445030002</v>
      </c>
      <c r="F151">
        <v>0</v>
      </c>
      <c r="G151">
        <v>0</v>
      </c>
      <c r="H151">
        <v>19796</v>
      </c>
      <c r="I151">
        <v>0.34432732980064001</v>
      </c>
      <c r="J151" t="s">
        <v>20</v>
      </c>
      <c r="K151">
        <v>7</v>
      </c>
      <c r="L151" t="s">
        <v>45</v>
      </c>
      <c r="M151" t="s">
        <v>53</v>
      </c>
      <c r="N151" t="s">
        <v>23</v>
      </c>
      <c r="O151" t="s">
        <v>29</v>
      </c>
      <c r="P151" t="s">
        <v>29</v>
      </c>
      <c r="Q151" t="s">
        <v>23</v>
      </c>
      <c r="R151" t="s">
        <v>29</v>
      </c>
      <c r="S151" t="s">
        <v>23</v>
      </c>
      <c r="T151" t="str">
        <f t="shared" si="4"/>
        <v>low risk</v>
      </c>
      <c r="U151" t="str">
        <f t="shared" si="5"/>
        <v>good</v>
      </c>
    </row>
    <row r="152" spans="1:21">
      <c r="A152" t="s">
        <v>188</v>
      </c>
      <c r="B152">
        <v>54</v>
      </c>
      <c r="C152">
        <v>53513</v>
      </c>
      <c r="D152">
        <v>328</v>
      </c>
      <c r="E152">
        <v>0.26111204839885999</v>
      </c>
      <c r="F152">
        <v>5</v>
      </c>
      <c r="G152">
        <v>0</v>
      </c>
      <c r="H152">
        <v>95276</v>
      </c>
      <c r="I152">
        <v>0.42710716496742601</v>
      </c>
      <c r="J152" t="s">
        <v>40</v>
      </c>
      <c r="K152">
        <v>6</v>
      </c>
      <c r="L152" t="s">
        <v>37</v>
      </c>
      <c r="M152" t="s">
        <v>32</v>
      </c>
      <c r="N152" t="s">
        <v>29</v>
      </c>
      <c r="O152" t="s">
        <v>23</v>
      </c>
      <c r="P152" t="s">
        <v>23</v>
      </c>
      <c r="Q152" t="s">
        <v>24</v>
      </c>
      <c r="R152" t="s">
        <v>23</v>
      </c>
      <c r="S152" t="s">
        <v>24</v>
      </c>
      <c r="T152" t="str">
        <f t="shared" si="4"/>
        <v>Medium risk</v>
      </c>
      <c r="U152" t="str">
        <f t="shared" si="5"/>
        <v>average</v>
      </c>
    </row>
    <row r="153" spans="1:21">
      <c r="A153" t="s">
        <v>189</v>
      </c>
      <c r="B153">
        <v>64</v>
      </c>
      <c r="C153">
        <v>189197</v>
      </c>
      <c r="D153">
        <v>524</v>
      </c>
      <c r="E153">
        <v>0.60256872261587502</v>
      </c>
      <c r="F153">
        <v>1</v>
      </c>
      <c r="G153">
        <v>1</v>
      </c>
      <c r="H153">
        <v>6118</v>
      </c>
      <c r="I153">
        <v>0.22928839953677199</v>
      </c>
      <c r="J153" t="s">
        <v>34</v>
      </c>
      <c r="K153">
        <v>0</v>
      </c>
      <c r="L153" t="s">
        <v>45</v>
      </c>
      <c r="M153" t="s">
        <v>28</v>
      </c>
      <c r="N153" t="s">
        <v>29</v>
      </c>
      <c r="O153" t="s">
        <v>24</v>
      </c>
      <c r="P153" t="s">
        <v>29</v>
      </c>
      <c r="Q153" t="s">
        <v>23</v>
      </c>
      <c r="R153" t="s">
        <v>29</v>
      </c>
      <c r="S153" t="s">
        <v>23</v>
      </c>
      <c r="T153" t="str">
        <f t="shared" si="4"/>
        <v>High risk</v>
      </c>
      <c r="U153" t="str">
        <f t="shared" si="5"/>
        <v>average</v>
      </c>
    </row>
    <row r="154" spans="1:21">
      <c r="A154" t="s">
        <v>190</v>
      </c>
      <c r="B154">
        <v>31</v>
      </c>
      <c r="C154">
        <v>97986</v>
      </c>
      <c r="D154">
        <v>326</v>
      </c>
      <c r="E154">
        <v>0.222410787886692</v>
      </c>
      <c r="F154">
        <v>2</v>
      </c>
      <c r="G154">
        <v>0</v>
      </c>
      <c r="H154">
        <v>34897</v>
      </c>
      <c r="I154">
        <v>0.19566651569496599</v>
      </c>
      <c r="J154" t="s">
        <v>34</v>
      </c>
      <c r="K154">
        <v>15</v>
      </c>
      <c r="L154" t="s">
        <v>45</v>
      </c>
      <c r="M154" t="s">
        <v>22</v>
      </c>
      <c r="N154" t="s">
        <v>29</v>
      </c>
      <c r="O154" t="s">
        <v>23</v>
      </c>
      <c r="P154" t="s">
        <v>24</v>
      </c>
      <c r="Q154" t="s">
        <v>29</v>
      </c>
      <c r="R154" t="s">
        <v>24</v>
      </c>
      <c r="S154" t="s">
        <v>24</v>
      </c>
      <c r="T154" t="str">
        <f t="shared" si="4"/>
        <v>Medium risk</v>
      </c>
      <c r="U154" t="str">
        <f t="shared" si="5"/>
        <v>poor</v>
      </c>
    </row>
    <row r="155" spans="1:21">
      <c r="A155" t="s">
        <v>191</v>
      </c>
      <c r="B155">
        <v>20</v>
      </c>
      <c r="D155">
        <v>718</v>
      </c>
      <c r="E155">
        <v>0.34755170757408299</v>
      </c>
      <c r="F155">
        <v>5</v>
      </c>
      <c r="G155">
        <v>0</v>
      </c>
      <c r="H155">
        <v>39006</v>
      </c>
      <c r="I155">
        <v>0.19370333439750001</v>
      </c>
      <c r="J155" t="s">
        <v>34</v>
      </c>
      <c r="K155">
        <v>5</v>
      </c>
      <c r="L155" t="s">
        <v>21</v>
      </c>
      <c r="M155" t="s">
        <v>38</v>
      </c>
      <c r="N155" t="s">
        <v>29</v>
      </c>
      <c r="O155" t="s">
        <v>24</v>
      </c>
      <c r="P155" t="s">
        <v>24</v>
      </c>
      <c r="Q155" t="s">
        <v>23</v>
      </c>
      <c r="R155" t="s">
        <v>23</v>
      </c>
      <c r="S155" t="s">
        <v>24</v>
      </c>
      <c r="T155" t="str">
        <f t="shared" si="4"/>
        <v>Medium risk</v>
      </c>
      <c r="U155" t="str">
        <f t="shared" si="5"/>
        <v>poor</v>
      </c>
    </row>
    <row r="156" spans="1:21">
      <c r="A156" t="s">
        <v>192</v>
      </c>
      <c r="B156">
        <v>18</v>
      </c>
      <c r="C156">
        <v>116570</v>
      </c>
      <c r="D156">
        <v>823</v>
      </c>
      <c r="E156">
        <v>0.49797681770621699</v>
      </c>
      <c r="F156">
        <v>5</v>
      </c>
      <c r="G156">
        <v>0</v>
      </c>
      <c r="H156">
        <v>36342</v>
      </c>
      <c r="I156">
        <v>0.28555315847002</v>
      </c>
      <c r="J156" t="s">
        <v>20</v>
      </c>
      <c r="K156">
        <v>6</v>
      </c>
      <c r="L156" t="s">
        <v>37</v>
      </c>
      <c r="M156" t="s">
        <v>32</v>
      </c>
      <c r="N156" t="s">
        <v>24</v>
      </c>
      <c r="O156" t="s">
        <v>24</v>
      </c>
      <c r="P156" t="s">
        <v>24</v>
      </c>
      <c r="Q156" t="s">
        <v>23</v>
      </c>
      <c r="R156" t="s">
        <v>23</v>
      </c>
      <c r="S156" t="s">
        <v>23</v>
      </c>
      <c r="T156" t="str">
        <f t="shared" si="4"/>
        <v>Medium risk</v>
      </c>
      <c r="U156" t="str">
        <f t="shared" si="5"/>
        <v>poor</v>
      </c>
    </row>
    <row r="157" spans="1:21">
      <c r="A157" t="s">
        <v>193</v>
      </c>
      <c r="B157">
        <v>22</v>
      </c>
      <c r="C157">
        <v>119185</v>
      </c>
      <c r="D157">
        <v>711</v>
      </c>
      <c r="E157">
        <v>0.94368428482294497</v>
      </c>
      <c r="F157">
        <v>0</v>
      </c>
      <c r="G157">
        <v>0</v>
      </c>
      <c r="H157">
        <v>44454</v>
      </c>
      <c r="I157">
        <v>0.20529533421594701</v>
      </c>
      <c r="J157" t="s">
        <v>40</v>
      </c>
      <c r="K157">
        <v>11</v>
      </c>
      <c r="L157" t="s">
        <v>21</v>
      </c>
      <c r="M157" t="s">
        <v>28</v>
      </c>
      <c r="N157" t="s">
        <v>23</v>
      </c>
      <c r="O157" t="s">
        <v>24</v>
      </c>
      <c r="P157" t="s">
        <v>29</v>
      </c>
      <c r="Q157" t="s">
        <v>23</v>
      </c>
      <c r="R157" t="s">
        <v>24</v>
      </c>
      <c r="S157" t="s">
        <v>24</v>
      </c>
      <c r="T157" t="str">
        <f t="shared" si="4"/>
        <v>low risk</v>
      </c>
      <c r="U157" t="str">
        <f t="shared" si="5"/>
        <v>poor</v>
      </c>
    </row>
    <row r="158" spans="1:21">
      <c r="A158" t="s">
        <v>194</v>
      </c>
      <c r="B158">
        <v>43</v>
      </c>
      <c r="C158">
        <v>136465</v>
      </c>
      <c r="D158">
        <v>823</v>
      </c>
      <c r="E158">
        <v>0.36261684884150203</v>
      </c>
      <c r="F158">
        <v>0</v>
      </c>
      <c r="G158">
        <v>0</v>
      </c>
      <c r="H158">
        <v>92381</v>
      </c>
      <c r="I158">
        <v>0.31475409118653203</v>
      </c>
      <c r="J158" t="s">
        <v>43</v>
      </c>
      <c r="K158">
        <v>8</v>
      </c>
      <c r="L158" t="s">
        <v>27</v>
      </c>
      <c r="M158" t="s">
        <v>32</v>
      </c>
      <c r="N158" t="s">
        <v>29</v>
      </c>
      <c r="O158" t="s">
        <v>23</v>
      </c>
      <c r="P158" t="s">
        <v>23</v>
      </c>
      <c r="Q158" t="s">
        <v>23</v>
      </c>
      <c r="R158" t="s">
        <v>23</v>
      </c>
      <c r="S158" t="s">
        <v>24</v>
      </c>
      <c r="T158" t="str">
        <f t="shared" si="4"/>
        <v>low risk</v>
      </c>
      <c r="U158" t="str">
        <f t="shared" si="5"/>
        <v>average</v>
      </c>
    </row>
    <row r="159" spans="1:21">
      <c r="A159" t="s">
        <v>195</v>
      </c>
      <c r="B159">
        <v>72</v>
      </c>
      <c r="C159">
        <v>21801</v>
      </c>
      <c r="D159">
        <v>805</v>
      </c>
      <c r="E159">
        <v>0.40835669613988401</v>
      </c>
      <c r="F159">
        <v>4</v>
      </c>
      <c r="G159">
        <v>1</v>
      </c>
      <c r="H159">
        <v>95267</v>
      </c>
      <c r="I159">
        <v>0.30769884197248898</v>
      </c>
      <c r="J159" t="s">
        <v>50</v>
      </c>
      <c r="K159">
        <v>10</v>
      </c>
      <c r="L159" t="s">
        <v>27</v>
      </c>
      <c r="M159" t="s">
        <v>28</v>
      </c>
      <c r="N159" t="s">
        <v>29</v>
      </c>
      <c r="O159" t="s">
        <v>29</v>
      </c>
      <c r="P159" t="s">
        <v>23</v>
      </c>
      <c r="Q159" t="s">
        <v>23</v>
      </c>
      <c r="R159" t="s">
        <v>24</v>
      </c>
      <c r="S159" t="s">
        <v>24</v>
      </c>
      <c r="T159" t="str">
        <f t="shared" si="4"/>
        <v>High risk</v>
      </c>
      <c r="U159" t="str">
        <f t="shared" si="5"/>
        <v>average</v>
      </c>
    </row>
    <row r="160" spans="1:21">
      <c r="A160" t="s">
        <v>196</v>
      </c>
      <c r="B160">
        <v>31</v>
      </c>
      <c r="C160">
        <v>15404</v>
      </c>
      <c r="D160">
        <v>316</v>
      </c>
      <c r="E160">
        <v>0.64646901088432895</v>
      </c>
      <c r="F160">
        <v>0</v>
      </c>
      <c r="G160">
        <v>0</v>
      </c>
      <c r="H160">
        <v>71791</v>
      </c>
      <c r="I160">
        <v>0.40185733031860399</v>
      </c>
      <c r="J160" t="s">
        <v>26</v>
      </c>
      <c r="K160">
        <v>9</v>
      </c>
      <c r="L160" t="s">
        <v>37</v>
      </c>
      <c r="M160" t="s">
        <v>53</v>
      </c>
      <c r="N160" t="s">
        <v>23</v>
      </c>
      <c r="O160" t="s">
        <v>29</v>
      </c>
      <c r="P160" t="s">
        <v>29</v>
      </c>
      <c r="Q160" t="s">
        <v>29</v>
      </c>
      <c r="R160" t="s">
        <v>24</v>
      </c>
      <c r="S160" t="s">
        <v>29</v>
      </c>
      <c r="T160" t="str">
        <f t="shared" si="4"/>
        <v>low risk</v>
      </c>
      <c r="U160" t="str">
        <f t="shared" si="5"/>
        <v>average</v>
      </c>
    </row>
    <row r="161" spans="1:21">
      <c r="A161" t="s">
        <v>197</v>
      </c>
      <c r="B161">
        <v>56</v>
      </c>
      <c r="C161">
        <v>54081</v>
      </c>
      <c r="D161">
        <v>566</v>
      </c>
      <c r="E161">
        <v>0.25234086232479003</v>
      </c>
      <c r="F161">
        <v>0</v>
      </c>
      <c r="G161">
        <v>0</v>
      </c>
      <c r="H161">
        <v>43927</v>
      </c>
      <c r="I161">
        <v>0.32911443082360398</v>
      </c>
      <c r="J161" t="s">
        <v>43</v>
      </c>
      <c r="K161">
        <v>0</v>
      </c>
      <c r="L161" t="s">
        <v>45</v>
      </c>
      <c r="M161" t="s">
        <v>32</v>
      </c>
      <c r="N161" t="s">
        <v>29</v>
      </c>
      <c r="O161" t="s">
        <v>23</v>
      </c>
      <c r="P161" t="s">
        <v>24</v>
      </c>
      <c r="Q161" t="s">
        <v>29</v>
      </c>
      <c r="R161" t="s">
        <v>23</v>
      </c>
      <c r="S161" t="s">
        <v>29</v>
      </c>
      <c r="T161" t="str">
        <f t="shared" si="4"/>
        <v>low risk</v>
      </c>
      <c r="U161" t="str">
        <f t="shared" si="5"/>
        <v>average</v>
      </c>
    </row>
    <row r="162" spans="1:21">
      <c r="A162" t="s">
        <v>198</v>
      </c>
      <c r="B162">
        <v>44</v>
      </c>
      <c r="C162">
        <v>74494</v>
      </c>
      <c r="D162">
        <v>319</v>
      </c>
      <c r="E162">
        <v>0.58856127620418297</v>
      </c>
      <c r="F162">
        <v>0</v>
      </c>
      <c r="G162">
        <v>0</v>
      </c>
      <c r="H162">
        <v>48397</v>
      </c>
      <c r="I162">
        <v>0.25838481441385502</v>
      </c>
      <c r="J162" t="s">
        <v>20</v>
      </c>
      <c r="K162">
        <v>17</v>
      </c>
      <c r="L162" t="s">
        <v>21</v>
      </c>
      <c r="M162" t="s">
        <v>32</v>
      </c>
      <c r="N162" t="s">
        <v>29</v>
      </c>
      <c r="O162" t="s">
        <v>23</v>
      </c>
      <c r="P162" t="s">
        <v>24</v>
      </c>
      <c r="Q162" t="s">
        <v>29</v>
      </c>
      <c r="R162" t="s">
        <v>29</v>
      </c>
      <c r="S162" t="s">
        <v>23</v>
      </c>
      <c r="T162" t="str">
        <f t="shared" si="4"/>
        <v>low risk</v>
      </c>
      <c r="U162" t="str">
        <f t="shared" si="5"/>
        <v>average</v>
      </c>
    </row>
    <row r="163" spans="1:21">
      <c r="A163" t="s">
        <v>199</v>
      </c>
      <c r="B163">
        <v>26</v>
      </c>
      <c r="C163">
        <v>89740</v>
      </c>
      <c r="D163">
        <v>385</v>
      </c>
      <c r="E163">
        <v>0.74118536152331704</v>
      </c>
      <c r="F163">
        <v>4</v>
      </c>
      <c r="G163">
        <v>0</v>
      </c>
      <c r="H163">
        <v>96485</v>
      </c>
      <c r="I163">
        <v>0.34108492044326799</v>
      </c>
      <c r="J163" t="s">
        <v>50</v>
      </c>
      <c r="K163">
        <v>3</v>
      </c>
      <c r="L163" t="s">
        <v>21</v>
      </c>
      <c r="M163" t="s">
        <v>32</v>
      </c>
      <c r="N163" t="s">
        <v>23</v>
      </c>
      <c r="O163" t="s">
        <v>24</v>
      </c>
      <c r="P163" t="s">
        <v>24</v>
      </c>
      <c r="Q163" t="s">
        <v>23</v>
      </c>
      <c r="R163" t="s">
        <v>29</v>
      </c>
      <c r="S163" t="s">
        <v>23</v>
      </c>
      <c r="T163" t="str">
        <f t="shared" si="4"/>
        <v>Medium risk</v>
      </c>
      <c r="U163" t="str">
        <f t="shared" si="5"/>
        <v>average</v>
      </c>
    </row>
    <row r="164" spans="1:21">
      <c r="A164" t="s">
        <v>200</v>
      </c>
      <c r="B164">
        <v>32</v>
      </c>
      <c r="C164">
        <v>116570</v>
      </c>
      <c r="D164">
        <v>402</v>
      </c>
      <c r="E164">
        <v>0.43858102305777902</v>
      </c>
      <c r="F164">
        <v>2</v>
      </c>
      <c r="G164">
        <v>0</v>
      </c>
      <c r="H164">
        <v>26000</v>
      </c>
      <c r="I164">
        <v>0.19698059801020501</v>
      </c>
      <c r="J164" t="s">
        <v>50</v>
      </c>
      <c r="K164">
        <v>4</v>
      </c>
      <c r="L164" t="s">
        <v>37</v>
      </c>
      <c r="M164" t="s">
        <v>53</v>
      </c>
      <c r="N164" t="s">
        <v>24</v>
      </c>
      <c r="O164" t="s">
        <v>24</v>
      </c>
      <c r="P164" t="s">
        <v>29</v>
      </c>
      <c r="Q164" t="s">
        <v>23</v>
      </c>
      <c r="R164" t="s">
        <v>23</v>
      </c>
      <c r="S164" t="s">
        <v>23</v>
      </c>
      <c r="T164" t="str">
        <f t="shared" si="4"/>
        <v>Medium risk</v>
      </c>
      <c r="U164" t="str">
        <f t="shared" si="5"/>
        <v>average</v>
      </c>
    </row>
    <row r="165" spans="1:21">
      <c r="A165" t="s">
        <v>201</v>
      </c>
      <c r="B165">
        <v>32</v>
      </c>
      <c r="C165">
        <v>117795</v>
      </c>
      <c r="D165">
        <v>670</v>
      </c>
      <c r="E165">
        <v>0.70523085627937299</v>
      </c>
      <c r="F165">
        <v>2</v>
      </c>
      <c r="G165">
        <v>1</v>
      </c>
      <c r="H165">
        <v>14417</v>
      </c>
      <c r="I165">
        <v>0.29618593119756798</v>
      </c>
      <c r="J165" t="s">
        <v>50</v>
      </c>
      <c r="K165">
        <v>8</v>
      </c>
      <c r="L165" t="s">
        <v>37</v>
      </c>
      <c r="M165" t="s">
        <v>38</v>
      </c>
      <c r="N165" t="s">
        <v>24</v>
      </c>
      <c r="O165" t="s">
        <v>24</v>
      </c>
      <c r="P165" t="s">
        <v>29</v>
      </c>
      <c r="Q165" t="s">
        <v>24</v>
      </c>
      <c r="R165" t="s">
        <v>29</v>
      </c>
      <c r="S165" t="s">
        <v>29</v>
      </c>
      <c r="T165" t="str">
        <f t="shared" si="4"/>
        <v>High risk</v>
      </c>
      <c r="U165" t="str">
        <f t="shared" si="5"/>
        <v>poor</v>
      </c>
    </row>
    <row r="166" spans="1:21">
      <c r="A166" t="s">
        <v>202</v>
      </c>
      <c r="B166">
        <v>43</v>
      </c>
      <c r="C166">
        <v>97844</v>
      </c>
      <c r="D166">
        <v>391</v>
      </c>
      <c r="E166">
        <v>0.55828998464236101</v>
      </c>
      <c r="F166">
        <v>6</v>
      </c>
      <c r="G166">
        <v>0</v>
      </c>
      <c r="I166">
        <v>0.33194012335955803</v>
      </c>
      <c r="J166" t="s">
        <v>34</v>
      </c>
      <c r="K166">
        <v>16</v>
      </c>
      <c r="L166" t="s">
        <v>27</v>
      </c>
      <c r="M166" t="s">
        <v>28</v>
      </c>
      <c r="N166" t="s">
        <v>24</v>
      </c>
      <c r="O166" t="s">
        <v>23</v>
      </c>
      <c r="P166" t="s">
        <v>23</v>
      </c>
      <c r="Q166" t="s">
        <v>24</v>
      </c>
      <c r="R166" t="s">
        <v>24</v>
      </c>
      <c r="S166" t="s">
        <v>23</v>
      </c>
      <c r="T166" t="str">
        <f t="shared" si="4"/>
        <v>Medium risk</v>
      </c>
      <c r="U166" t="str">
        <f t="shared" si="5"/>
        <v>poor</v>
      </c>
    </row>
    <row r="167" spans="1:21">
      <c r="A167" t="s">
        <v>203</v>
      </c>
      <c r="B167">
        <v>59</v>
      </c>
      <c r="C167">
        <v>100999</v>
      </c>
      <c r="D167">
        <v>457</v>
      </c>
      <c r="E167">
        <v>0.35386360723924298</v>
      </c>
      <c r="F167">
        <v>6</v>
      </c>
      <c r="G167">
        <v>0</v>
      </c>
      <c r="H167">
        <v>50989</v>
      </c>
      <c r="I167">
        <v>0.31293175981501198</v>
      </c>
      <c r="J167" t="s">
        <v>26</v>
      </c>
      <c r="K167">
        <v>2</v>
      </c>
      <c r="L167" t="s">
        <v>31</v>
      </c>
      <c r="M167" t="s">
        <v>32</v>
      </c>
      <c r="N167" t="s">
        <v>24</v>
      </c>
      <c r="O167" t="s">
        <v>24</v>
      </c>
      <c r="P167" t="s">
        <v>23</v>
      </c>
      <c r="Q167" t="s">
        <v>29</v>
      </c>
      <c r="R167" t="s">
        <v>23</v>
      </c>
      <c r="S167" t="s">
        <v>24</v>
      </c>
      <c r="T167" t="str">
        <f t="shared" si="4"/>
        <v>Medium risk</v>
      </c>
      <c r="U167" t="str">
        <f t="shared" si="5"/>
        <v>poor</v>
      </c>
    </row>
    <row r="168" spans="1:21">
      <c r="A168" t="s">
        <v>204</v>
      </c>
      <c r="B168">
        <v>30</v>
      </c>
      <c r="C168">
        <v>21970</v>
      </c>
      <c r="D168">
        <v>328</v>
      </c>
      <c r="E168">
        <v>0.46043906282069802</v>
      </c>
      <c r="F168">
        <v>0</v>
      </c>
      <c r="G168">
        <v>0</v>
      </c>
      <c r="H168">
        <v>85107</v>
      </c>
      <c r="I168">
        <v>0.34150650949359801</v>
      </c>
      <c r="J168" t="s">
        <v>20</v>
      </c>
      <c r="K168">
        <v>15</v>
      </c>
      <c r="L168" t="s">
        <v>37</v>
      </c>
      <c r="M168" t="s">
        <v>53</v>
      </c>
      <c r="N168" t="s">
        <v>29</v>
      </c>
      <c r="O168" t="s">
        <v>29</v>
      </c>
      <c r="P168" t="s">
        <v>24</v>
      </c>
      <c r="Q168" t="s">
        <v>24</v>
      </c>
      <c r="R168" t="s">
        <v>23</v>
      </c>
      <c r="S168" t="s">
        <v>29</v>
      </c>
      <c r="T168" t="str">
        <f t="shared" si="4"/>
        <v>low risk</v>
      </c>
      <c r="U168" t="str">
        <f t="shared" si="5"/>
        <v>average</v>
      </c>
    </row>
    <row r="169" spans="1:21">
      <c r="A169" t="s">
        <v>205</v>
      </c>
      <c r="B169">
        <v>68</v>
      </c>
      <c r="C169">
        <v>185883</v>
      </c>
      <c r="D169">
        <v>604</v>
      </c>
      <c r="E169">
        <v>0.42404853200395098</v>
      </c>
      <c r="F169">
        <v>6</v>
      </c>
      <c r="G169">
        <v>0</v>
      </c>
      <c r="H169">
        <v>13761</v>
      </c>
      <c r="I169">
        <v>0.23559539842871999</v>
      </c>
      <c r="J169" t="s">
        <v>20</v>
      </c>
      <c r="K169">
        <v>4</v>
      </c>
      <c r="L169" t="s">
        <v>31</v>
      </c>
      <c r="M169" t="s">
        <v>38</v>
      </c>
      <c r="N169" t="s">
        <v>29</v>
      </c>
      <c r="O169" t="s">
        <v>23</v>
      </c>
      <c r="P169" t="s">
        <v>24</v>
      </c>
      <c r="Q169" t="s">
        <v>24</v>
      </c>
      <c r="R169" t="s">
        <v>29</v>
      </c>
      <c r="S169" t="s">
        <v>23</v>
      </c>
      <c r="T169" t="str">
        <f t="shared" si="4"/>
        <v>Medium risk</v>
      </c>
      <c r="U169" t="str">
        <f t="shared" si="5"/>
        <v>average</v>
      </c>
    </row>
    <row r="170" spans="1:21">
      <c r="A170" t="s">
        <v>206</v>
      </c>
      <c r="B170">
        <v>49</v>
      </c>
      <c r="C170">
        <v>53513</v>
      </c>
      <c r="D170">
        <v>339</v>
      </c>
      <c r="E170">
        <v>0.482472348436704</v>
      </c>
      <c r="F170">
        <v>4</v>
      </c>
      <c r="G170">
        <v>0</v>
      </c>
      <c r="H170">
        <v>26549</v>
      </c>
      <c r="I170">
        <v>0.41520314028095101</v>
      </c>
      <c r="J170" t="s">
        <v>50</v>
      </c>
      <c r="K170">
        <v>15</v>
      </c>
      <c r="L170" t="s">
        <v>37</v>
      </c>
      <c r="M170" t="s">
        <v>28</v>
      </c>
      <c r="N170" t="s">
        <v>29</v>
      </c>
      <c r="O170" t="s">
        <v>23</v>
      </c>
      <c r="P170" t="s">
        <v>24</v>
      </c>
      <c r="Q170" t="s">
        <v>29</v>
      </c>
      <c r="R170" t="s">
        <v>24</v>
      </c>
      <c r="S170" t="s">
        <v>23</v>
      </c>
      <c r="T170" t="str">
        <f t="shared" si="4"/>
        <v>Medium risk</v>
      </c>
      <c r="U170" t="str">
        <f t="shared" si="5"/>
        <v>average</v>
      </c>
    </row>
    <row r="171" spans="1:21">
      <c r="A171" t="s">
        <v>207</v>
      </c>
      <c r="B171">
        <v>56</v>
      </c>
      <c r="C171">
        <v>150230</v>
      </c>
      <c r="D171">
        <v>766</v>
      </c>
      <c r="E171">
        <v>0.53054357984396505</v>
      </c>
      <c r="F171">
        <v>2</v>
      </c>
      <c r="G171">
        <v>0</v>
      </c>
      <c r="H171">
        <v>5539</v>
      </c>
      <c r="I171">
        <v>0.48221689493956998</v>
      </c>
      <c r="J171" t="s">
        <v>20</v>
      </c>
      <c r="K171">
        <v>2</v>
      </c>
      <c r="L171" t="s">
        <v>45</v>
      </c>
      <c r="M171" t="s">
        <v>53</v>
      </c>
      <c r="N171" t="s">
        <v>29</v>
      </c>
      <c r="O171" t="s">
        <v>24</v>
      </c>
      <c r="P171" t="s">
        <v>29</v>
      </c>
      <c r="Q171" t="s">
        <v>29</v>
      </c>
      <c r="R171" t="s">
        <v>23</v>
      </c>
      <c r="S171" t="s">
        <v>29</v>
      </c>
      <c r="T171" t="str">
        <f t="shared" si="4"/>
        <v>Medium risk</v>
      </c>
      <c r="U171" t="str">
        <f t="shared" si="5"/>
        <v>average</v>
      </c>
    </row>
    <row r="172" spans="1:21">
      <c r="A172" t="s">
        <v>208</v>
      </c>
      <c r="B172">
        <v>66</v>
      </c>
      <c r="C172">
        <v>38959</v>
      </c>
      <c r="D172">
        <v>310</v>
      </c>
      <c r="E172">
        <v>0.61763998699437095</v>
      </c>
      <c r="F172">
        <v>5</v>
      </c>
      <c r="G172">
        <v>1</v>
      </c>
      <c r="H172">
        <v>67460</v>
      </c>
      <c r="I172">
        <v>0.13973238551414</v>
      </c>
      <c r="J172" t="s">
        <v>26</v>
      </c>
      <c r="K172">
        <v>19</v>
      </c>
      <c r="L172" t="s">
        <v>45</v>
      </c>
      <c r="M172" t="s">
        <v>28</v>
      </c>
      <c r="N172" t="s">
        <v>24</v>
      </c>
      <c r="O172" t="s">
        <v>23</v>
      </c>
      <c r="P172" t="s">
        <v>23</v>
      </c>
      <c r="Q172" t="s">
        <v>24</v>
      </c>
      <c r="R172" t="s">
        <v>23</v>
      </c>
      <c r="S172" t="s">
        <v>29</v>
      </c>
      <c r="T172" t="str">
        <f t="shared" si="4"/>
        <v>High risk</v>
      </c>
      <c r="U172" t="str">
        <f t="shared" si="5"/>
        <v>average</v>
      </c>
    </row>
    <row r="173" spans="1:21">
      <c r="A173" t="s">
        <v>209</v>
      </c>
      <c r="B173">
        <v>69</v>
      </c>
      <c r="C173">
        <v>172504</v>
      </c>
      <c r="D173">
        <v>677</v>
      </c>
      <c r="E173">
        <v>0.60173364991742695</v>
      </c>
      <c r="F173">
        <v>2</v>
      </c>
      <c r="G173">
        <v>0</v>
      </c>
      <c r="H173">
        <v>98999</v>
      </c>
      <c r="I173">
        <v>0.17844020040457501</v>
      </c>
      <c r="J173" t="s">
        <v>26</v>
      </c>
      <c r="K173">
        <v>14</v>
      </c>
      <c r="L173" t="s">
        <v>27</v>
      </c>
      <c r="M173" t="s">
        <v>32</v>
      </c>
      <c r="N173" t="s">
        <v>24</v>
      </c>
      <c r="O173" t="s">
        <v>29</v>
      </c>
      <c r="P173" t="s">
        <v>29</v>
      </c>
      <c r="Q173" t="s">
        <v>24</v>
      </c>
      <c r="R173" t="s">
        <v>29</v>
      </c>
      <c r="S173" t="s">
        <v>23</v>
      </c>
      <c r="T173" t="str">
        <f t="shared" si="4"/>
        <v>Medium risk</v>
      </c>
      <c r="U173" t="str">
        <f t="shared" si="5"/>
        <v>average</v>
      </c>
    </row>
    <row r="174" spans="1:21">
      <c r="A174" t="s">
        <v>210</v>
      </c>
      <c r="B174">
        <v>49</v>
      </c>
      <c r="C174">
        <v>101188</v>
      </c>
      <c r="D174">
        <v>818</v>
      </c>
      <c r="E174">
        <v>0.05</v>
      </c>
      <c r="F174">
        <v>2</v>
      </c>
      <c r="G174">
        <v>0</v>
      </c>
      <c r="H174">
        <v>74403</v>
      </c>
      <c r="I174">
        <v>0.30430830080243798</v>
      </c>
      <c r="J174" t="s">
        <v>40</v>
      </c>
      <c r="K174">
        <v>2</v>
      </c>
      <c r="L174" t="s">
        <v>27</v>
      </c>
      <c r="M174" t="s">
        <v>38</v>
      </c>
      <c r="N174" t="s">
        <v>29</v>
      </c>
      <c r="O174" t="s">
        <v>29</v>
      </c>
      <c r="P174" t="s">
        <v>24</v>
      </c>
      <c r="Q174" t="s">
        <v>29</v>
      </c>
      <c r="R174" t="s">
        <v>29</v>
      </c>
      <c r="S174" t="s">
        <v>23</v>
      </c>
      <c r="T174" t="str">
        <f t="shared" si="4"/>
        <v>Medium risk</v>
      </c>
      <c r="U174" t="str">
        <f t="shared" si="5"/>
        <v>average</v>
      </c>
    </row>
    <row r="175" spans="1:21">
      <c r="A175" t="s">
        <v>211</v>
      </c>
      <c r="B175">
        <v>21</v>
      </c>
      <c r="C175">
        <v>47217</v>
      </c>
      <c r="D175">
        <v>383</v>
      </c>
      <c r="E175">
        <v>0.48053836224559399</v>
      </c>
      <c r="F175">
        <v>4</v>
      </c>
      <c r="G175">
        <v>1</v>
      </c>
      <c r="H175">
        <v>31316</v>
      </c>
      <c r="I175">
        <v>0.27434490194471201</v>
      </c>
      <c r="J175" t="s">
        <v>40</v>
      </c>
      <c r="K175">
        <v>19</v>
      </c>
      <c r="L175" t="s">
        <v>31</v>
      </c>
      <c r="M175" t="s">
        <v>53</v>
      </c>
      <c r="N175" t="s">
        <v>29</v>
      </c>
      <c r="O175" t="s">
        <v>23</v>
      </c>
      <c r="P175" t="s">
        <v>29</v>
      </c>
      <c r="Q175" t="s">
        <v>24</v>
      </c>
      <c r="R175" t="s">
        <v>24</v>
      </c>
      <c r="S175" t="s">
        <v>24</v>
      </c>
      <c r="T175" t="str">
        <f t="shared" si="4"/>
        <v>High risk</v>
      </c>
      <c r="U175" t="str">
        <f t="shared" si="5"/>
        <v>poor</v>
      </c>
    </row>
    <row r="176" spans="1:21">
      <c r="A176" t="s">
        <v>212</v>
      </c>
      <c r="B176">
        <v>47</v>
      </c>
      <c r="C176">
        <v>72458</v>
      </c>
      <c r="D176">
        <v>407</v>
      </c>
      <c r="E176">
        <v>0.19811561731864699</v>
      </c>
      <c r="F176">
        <v>6</v>
      </c>
      <c r="G176">
        <v>0</v>
      </c>
      <c r="H176">
        <v>37445</v>
      </c>
      <c r="I176">
        <v>0.48964124057727798</v>
      </c>
      <c r="J176" t="s">
        <v>43</v>
      </c>
      <c r="K176">
        <v>13</v>
      </c>
      <c r="L176" t="s">
        <v>37</v>
      </c>
      <c r="M176" t="s">
        <v>38</v>
      </c>
      <c r="N176" t="s">
        <v>23</v>
      </c>
      <c r="O176" t="s">
        <v>24</v>
      </c>
      <c r="P176" t="s">
        <v>24</v>
      </c>
      <c r="Q176" t="s">
        <v>23</v>
      </c>
      <c r="R176" t="s">
        <v>23</v>
      </c>
      <c r="S176" t="s">
        <v>23</v>
      </c>
      <c r="T176" t="str">
        <f t="shared" si="4"/>
        <v>Medium risk</v>
      </c>
      <c r="U176" t="str">
        <f t="shared" si="5"/>
        <v>average</v>
      </c>
    </row>
    <row r="177" spans="1:21">
      <c r="A177" t="s">
        <v>213</v>
      </c>
      <c r="B177">
        <v>54</v>
      </c>
      <c r="C177">
        <v>76476</v>
      </c>
      <c r="D177">
        <v>788</v>
      </c>
      <c r="E177">
        <v>0.44485454950653402</v>
      </c>
      <c r="F177">
        <v>5</v>
      </c>
      <c r="G177">
        <v>0</v>
      </c>
      <c r="H177">
        <v>69963</v>
      </c>
      <c r="I177">
        <v>0.321978432342446</v>
      </c>
      <c r="J177" t="s">
        <v>26</v>
      </c>
      <c r="K177">
        <v>15</v>
      </c>
      <c r="L177" t="s">
        <v>21</v>
      </c>
      <c r="M177" t="s">
        <v>32</v>
      </c>
      <c r="N177" t="s">
        <v>29</v>
      </c>
      <c r="O177" t="s">
        <v>24</v>
      </c>
      <c r="P177" t="s">
        <v>23</v>
      </c>
      <c r="Q177" t="s">
        <v>24</v>
      </c>
      <c r="R177" t="s">
        <v>24</v>
      </c>
      <c r="S177" t="s">
        <v>23</v>
      </c>
      <c r="T177" t="str">
        <f t="shared" si="4"/>
        <v>Medium risk</v>
      </c>
      <c r="U177" t="str">
        <f t="shared" si="5"/>
        <v>poor</v>
      </c>
    </row>
    <row r="178" spans="1:21">
      <c r="A178" t="s">
        <v>214</v>
      </c>
      <c r="B178">
        <v>40</v>
      </c>
      <c r="C178">
        <v>159356</v>
      </c>
      <c r="D178">
        <v>339</v>
      </c>
      <c r="E178">
        <v>0.47524208243781602</v>
      </c>
      <c r="F178">
        <v>4</v>
      </c>
      <c r="G178">
        <v>0</v>
      </c>
      <c r="H178">
        <v>68636</v>
      </c>
      <c r="I178">
        <v>0.43925452537259502</v>
      </c>
      <c r="J178" t="s">
        <v>26</v>
      </c>
      <c r="K178">
        <v>16</v>
      </c>
      <c r="L178" t="s">
        <v>27</v>
      </c>
      <c r="M178" t="s">
        <v>38</v>
      </c>
      <c r="N178" t="s">
        <v>23</v>
      </c>
      <c r="O178" t="s">
        <v>29</v>
      </c>
      <c r="P178" t="s">
        <v>24</v>
      </c>
      <c r="Q178" t="s">
        <v>29</v>
      </c>
      <c r="R178" t="s">
        <v>24</v>
      </c>
      <c r="S178" t="s">
        <v>23</v>
      </c>
      <c r="T178" t="str">
        <f t="shared" si="4"/>
        <v>Medium risk</v>
      </c>
      <c r="U178" t="str">
        <f t="shared" si="5"/>
        <v>average</v>
      </c>
    </row>
    <row r="179" spans="1:21">
      <c r="A179" t="s">
        <v>215</v>
      </c>
      <c r="B179">
        <v>56</v>
      </c>
      <c r="C179">
        <v>165580</v>
      </c>
      <c r="D179">
        <v>447</v>
      </c>
      <c r="E179">
        <v>0.69522967161694105</v>
      </c>
      <c r="F179">
        <v>0</v>
      </c>
      <c r="G179">
        <v>0</v>
      </c>
      <c r="I179">
        <v>0.1</v>
      </c>
      <c r="J179" t="s">
        <v>26</v>
      </c>
      <c r="K179">
        <v>19</v>
      </c>
      <c r="L179" t="s">
        <v>21</v>
      </c>
      <c r="M179" t="s">
        <v>38</v>
      </c>
      <c r="N179" t="s">
        <v>23</v>
      </c>
      <c r="O179" t="s">
        <v>23</v>
      </c>
      <c r="P179" t="s">
        <v>23</v>
      </c>
      <c r="Q179" t="s">
        <v>23</v>
      </c>
      <c r="R179" t="s">
        <v>29</v>
      </c>
      <c r="S179" t="s">
        <v>29</v>
      </c>
      <c r="T179" t="str">
        <f t="shared" si="4"/>
        <v>low risk</v>
      </c>
      <c r="U179" t="str">
        <f t="shared" si="5"/>
        <v>good</v>
      </c>
    </row>
    <row r="180" spans="1:21">
      <c r="A180" t="s">
        <v>216</v>
      </c>
      <c r="B180">
        <v>62</v>
      </c>
      <c r="C180">
        <v>108610</v>
      </c>
      <c r="D180">
        <v>446</v>
      </c>
      <c r="E180">
        <v>0.49397690657998</v>
      </c>
      <c r="F180">
        <v>3</v>
      </c>
      <c r="G180">
        <v>0</v>
      </c>
      <c r="H180">
        <v>11061</v>
      </c>
      <c r="I180">
        <v>0.38141694833323497</v>
      </c>
      <c r="J180" t="s">
        <v>40</v>
      </c>
      <c r="K180">
        <v>17</v>
      </c>
      <c r="L180" t="s">
        <v>21</v>
      </c>
      <c r="M180" t="s">
        <v>22</v>
      </c>
      <c r="N180" t="s">
        <v>23</v>
      </c>
      <c r="O180" t="s">
        <v>23</v>
      </c>
      <c r="P180" t="s">
        <v>24</v>
      </c>
      <c r="Q180" t="s">
        <v>23</v>
      </c>
      <c r="R180" t="s">
        <v>29</v>
      </c>
      <c r="S180" t="s">
        <v>24</v>
      </c>
      <c r="T180" t="str">
        <f t="shared" si="4"/>
        <v>Medium risk</v>
      </c>
      <c r="U180" t="str">
        <f t="shared" si="5"/>
        <v>average</v>
      </c>
    </row>
    <row r="181" spans="1:21">
      <c r="A181" t="s">
        <v>217</v>
      </c>
      <c r="B181">
        <v>32</v>
      </c>
      <c r="C181">
        <v>182280</v>
      </c>
      <c r="D181">
        <v>467</v>
      </c>
      <c r="E181">
        <v>0.55184360366865204</v>
      </c>
      <c r="F181">
        <v>2</v>
      </c>
      <c r="G181">
        <v>0</v>
      </c>
      <c r="H181">
        <v>74433</v>
      </c>
      <c r="I181">
        <v>0.22844831807416699</v>
      </c>
      <c r="J181" t="s">
        <v>50</v>
      </c>
      <c r="K181">
        <v>17</v>
      </c>
      <c r="L181" t="s">
        <v>37</v>
      </c>
      <c r="M181" t="s">
        <v>38</v>
      </c>
      <c r="N181" t="s">
        <v>23</v>
      </c>
      <c r="O181" t="s">
        <v>23</v>
      </c>
      <c r="P181" t="s">
        <v>29</v>
      </c>
      <c r="Q181" t="s">
        <v>23</v>
      </c>
      <c r="R181" t="s">
        <v>24</v>
      </c>
      <c r="S181" t="s">
        <v>24</v>
      </c>
      <c r="T181" t="str">
        <f t="shared" si="4"/>
        <v>Medium risk</v>
      </c>
      <c r="U181" t="str">
        <f t="shared" si="5"/>
        <v>average</v>
      </c>
    </row>
    <row r="182" spans="1:21">
      <c r="A182" t="s">
        <v>218</v>
      </c>
      <c r="B182">
        <v>60</v>
      </c>
      <c r="C182">
        <v>127816</v>
      </c>
      <c r="D182">
        <v>638</v>
      </c>
      <c r="E182">
        <v>0.65861127613148496</v>
      </c>
      <c r="F182">
        <v>3</v>
      </c>
      <c r="G182">
        <v>0</v>
      </c>
      <c r="H182">
        <v>50183</v>
      </c>
      <c r="I182">
        <v>0.22684574303803401</v>
      </c>
      <c r="J182" t="s">
        <v>50</v>
      </c>
      <c r="K182">
        <v>13</v>
      </c>
      <c r="L182" t="s">
        <v>31</v>
      </c>
      <c r="M182" t="s">
        <v>28</v>
      </c>
      <c r="N182" t="s">
        <v>29</v>
      </c>
      <c r="O182" t="s">
        <v>24</v>
      </c>
      <c r="P182" t="s">
        <v>23</v>
      </c>
      <c r="Q182" t="s">
        <v>24</v>
      </c>
      <c r="R182" t="s">
        <v>29</v>
      </c>
      <c r="S182" t="s">
        <v>23</v>
      </c>
      <c r="T182" t="str">
        <f t="shared" si="4"/>
        <v>Medium risk</v>
      </c>
      <c r="U182" t="str">
        <f t="shared" si="5"/>
        <v>average</v>
      </c>
    </row>
    <row r="183" spans="1:21">
      <c r="A183" t="s">
        <v>219</v>
      </c>
      <c r="B183">
        <v>46</v>
      </c>
      <c r="C183">
        <v>149415</v>
      </c>
      <c r="D183">
        <v>605</v>
      </c>
      <c r="E183">
        <v>0.74555045196386005</v>
      </c>
      <c r="F183">
        <v>4</v>
      </c>
      <c r="G183">
        <v>0</v>
      </c>
      <c r="H183">
        <v>30549</v>
      </c>
      <c r="I183">
        <v>0.275164197358787</v>
      </c>
      <c r="J183" t="s">
        <v>20</v>
      </c>
      <c r="K183">
        <v>17</v>
      </c>
      <c r="L183" t="s">
        <v>37</v>
      </c>
      <c r="M183" t="s">
        <v>53</v>
      </c>
      <c r="N183" t="s">
        <v>23</v>
      </c>
      <c r="O183" t="s">
        <v>23</v>
      </c>
      <c r="P183" t="s">
        <v>29</v>
      </c>
      <c r="Q183" t="s">
        <v>24</v>
      </c>
      <c r="R183" t="s">
        <v>24</v>
      </c>
      <c r="S183" t="s">
        <v>29</v>
      </c>
      <c r="T183" t="str">
        <f t="shared" si="4"/>
        <v>Medium risk</v>
      </c>
      <c r="U183" t="str">
        <f t="shared" si="5"/>
        <v>average</v>
      </c>
    </row>
    <row r="184" spans="1:21">
      <c r="A184" t="s">
        <v>220</v>
      </c>
      <c r="B184">
        <v>53</v>
      </c>
      <c r="C184">
        <v>120616</v>
      </c>
      <c r="D184">
        <v>469</v>
      </c>
      <c r="E184">
        <v>0.47539721532861701</v>
      </c>
      <c r="F184">
        <v>4</v>
      </c>
      <c r="G184">
        <v>0</v>
      </c>
      <c r="H184">
        <v>69666</v>
      </c>
      <c r="I184">
        <v>0.15754163602689</v>
      </c>
      <c r="J184" t="s">
        <v>50</v>
      </c>
      <c r="K184">
        <v>14</v>
      </c>
      <c r="L184" t="s">
        <v>27</v>
      </c>
      <c r="M184" t="s">
        <v>22</v>
      </c>
      <c r="N184" t="s">
        <v>23</v>
      </c>
      <c r="O184" t="s">
        <v>24</v>
      </c>
      <c r="P184" t="s">
        <v>23</v>
      </c>
      <c r="Q184" t="s">
        <v>24</v>
      </c>
      <c r="R184" t="s">
        <v>29</v>
      </c>
      <c r="S184" t="s">
        <v>24</v>
      </c>
      <c r="T184" t="str">
        <f t="shared" si="4"/>
        <v>Medium risk</v>
      </c>
      <c r="U184" t="str">
        <f t="shared" si="5"/>
        <v>poor</v>
      </c>
    </row>
    <row r="185" spans="1:21">
      <c r="A185" t="s">
        <v>221</v>
      </c>
      <c r="B185">
        <v>30</v>
      </c>
      <c r="C185">
        <v>199943</v>
      </c>
      <c r="D185">
        <v>429</v>
      </c>
      <c r="E185">
        <v>0.51883588833608096</v>
      </c>
      <c r="F185">
        <v>4</v>
      </c>
      <c r="G185">
        <v>0</v>
      </c>
      <c r="H185">
        <v>10951</v>
      </c>
      <c r="I185">
        <v>0.34427855253218498</v>
      </c>
      <c r="J185" t="s">
        <v>34</v>
      </c>
      <c r="K185">
        <v>14</v>
      </c>
      <c r="L185" t="s">
        <v>21</v>
      </c>
      <c r="M185" t="s">
        <v>53</v>
      </c>
      <c r="N185" t="s">
        <v>23</v>
      </c>
      <c r="O185" t="s">
        <v>23</v>
      </c>
      <c r="P185" t="s">
        <v>23</v>
      </c>
      <c r="Q185" t="s">
        <v>24</v>
      </c>
      <c r="R185" t="s">
        <v>23</v>
      </c>
      <c r="S185" t="s">
        <v>24</v>
      </c>
      <c r="T185" t="str">
        <f t="shared" si="4"/>
        <v>Medium risk</v>
      </c>
      <c r="U185" t="str">
        <f t="shared" si="5"/>
        <v>average</v>
      </c>
    </row>
    <row r="186" spans="1:21">
      <c r="A186" t="s">
        <v>222</v>
      </c>
      <c r="B186">
        <v>49</v>
      </c>
      <c r="C186">
        <v>178551</v>
      </c>
      <c r="D186">
        <v>811</v>
      </c>
      <c r="E186">
        <v>0.50200466044845005</v>
      </c>
      <c r="F186">
        <v>3</v>
      </c>
      <c r="G186">
        <v>0</v>
      </c>
      <c r="H186">
        <v>47721</v>
      </c>
      <c r="I186">
        <v>0.319071496671679</v>
      </c>
      <c r="J186" t="s">
        <v>40</v>
      </c>
      <c r="K186">
        <v>5</v>
      </c>
      <c r="L186" t="s">
        <v>37</v>
      </c>
      <c r="M186" t="s">
        <v>53</v>
      </c>
      <c r="N186" t="s">
        <v>29</v>
      </c>
      <c r="O186" t="s">
        <v>23</v>
      </c>
      <c r="P186" t="s">
        <v>29</v>
      </c>
      <c r="Q186" t="s">
        <v>24</v>
      </c>
      <c r="R186" t="s">
        <v>23</v>
      </c>
      <c r="S186" t="s">
        <v>23</v>
      </c>
      <c r="T186" t="str">
        <f t="shared" si="4"/>
        <v>Medium risk</v>
      </c>
      <c r="U186" t="str">
        <f t="shared" si="5"/>
        <v>average</v>
      </c>
    </row>
    <row r="187" spans="1:21">
      <c r="A187" t="s">
        <v>223</v>
      </c>
      <c r="B187">
        <v>24</v>
      </c>
      <c r="C187">
        <v>68932</v>
      </c>
      <c r="D187">
        <v>792</v>
      </c>
      <c r="E187">
        <v>0.39148020711378401</v>
      </c>
      <c r="F187">
        <v>4</v>
      </c>
      <c r="G187">
        <v>0</v>
      </c>
      <c r="H187">
        <v>84521</v>
      </c>
      <c r="I187">
        <v>0.32661922481872702</v>
      </c>
      <c r="J187" t="s">
        <v>26</v>
      </c>
      <c r="K187">
        <v>14</v>
      </c>
      <c r="L187" t="s">
        <v>37</v>
      </c>
      <c r="M187" t="s">
        <v>32</v>
      </c>
      <c r="N187" t="s">
        <v>29</v>
      </c>
      <c r="O187" t="s">
        <v>29</v>
      </c>
      <c r="P187" t="s">
        <v>24</v>
      </c>
      <c r="Q187" t="s">
        <v>23</v>
      </c>
      <c r="R187" t="s">
        <v>23</v>
      </c>
      <c r="S187" t="s">
        <v>29</v>
      </c>
      <c r="T187" t="str">
        <f t="shared" si="4"/>
        <v>Medium risk</v>
      </c>
      <c r="U187" t="str">
        <f t="shared" si="5"/>
        <v>average</v>
      </c>
    </row>
    <row r="188" spans="1:21">
      <c r="A188" t="s">
        <v>224</v>
      </c>
      <c r="B188">
        <v>68</v>
      </c>
      <c r="C188">
        <v>23702</v>
      </c>
      <c r="D188">
        <v>401</v>
      </c>
      <c r="E188">
        <v>0.34617695531152198</v>
      </c>
      <c r="F188">
        <v>0</v>
      </c>
      <c r="G188">
        <v>0</v>
      </c>
      <c r="H188">
        <v>31198</v>
      </c>
      <c r="I188">
        <v>0.38870310221329002</v>
      </c>
      <c r="J188" t="s">
        <v>50</v>
      </c>
      <c r="K188">
        <v>17</v>
      </c>
      <c r="L188" t="s">
        <v>37</v>
      </c>
      <c r="M188" t="s">
        <v>32</v>
      </c>
      <c r="N188" t="s">
        <v>23</v>
      </c>
      <c r="O188" t="s">
        <v>23</v>
      </c>
      <c r="P188" t="s">
        <v>24</v>
      </c>
      <c r="Q188" t="s">
        <v>29</v>
      </c>
      <c r="R188" t="s">
        <v>29</v>
      </c>
      <c r="S188" t="s">
        <v>29</v>
      </c>
      <c r="T188" t="str">
        <f t="shared" si="4"/>
        <v>low risk</v>
      </c>
      <c r="U188" t="str">
        <f t="shared" si="5"/>
        <v>average</v>
      </c>
    </row>
    <row r="189" spans="1:21">
      <c r="A189" t="s">
        <v>225</v>
      </c>
      <c r="B189">
        <v>39</v>
      </c>
      <c r="D189">
        <v>826</v>
      </c>
      <c r="E189">
        <v>0.05</v>
      </c>
      <c r="F189">
        <v>4</v>
      </c>
      <c r="G189">
        <v>1</v>
      </c>
      <c r="H189">
        <v>7796</v>
      </c>
      <c r="I189">
        <v>0.45147820461941501</v>
      </c>
      <c r="J189" t="s">
        <v>40</v>
      </c>
      <c r="K189">
        <v>3</v>
      </c>
      <c r="L189" t="s">
        <v>27</v>
      </c>
      <c r="M189" t="s">
        <v>22</v>
      </c>
      <c r="N189" t="s">
        <v>24</v>
      </c>
      <c r="O189" t="s">
        <v>29</v>
      </c>
      <c r="P189" t="s">
        <v>23</v>
      </c>
      <c r="Q189" t="s">
        <v>29</v>
      </c>
      <c r="R189" t="s">
        <v>29</v>
      </c>
      <c r="S189" t="s">
        <v>23</v>
      </c>
      <c r="T189" t="str">
        <f t="shared" si="4"/>
        <v>High risk</v>
      </c>
      <c r="U189" t="str">
        <f t="shared" si="5"/>
        <v>average</v>
      </c>
    </row>
    <row r="190" spans="1:21">
      <c r="A190" t="s">
        <v>226</v>
      </c>
      <c r="B190">
        <v>45</v>
      </c>
      <c r="C190">
        <v>67528</v>
      </c>
      <c r="D190">
        <v>526</v>
      </c>
      <c r="E190">
        <v>0.284667813095134</v>
      </c>
      <c r="F190">
        <v>1</v>
      </c>
      <c r="G190">
        <v>0</v>
      </c>
      <c r="H190">
        <v>64950</v>
      </c>
      <c r="I190">
        <v>0.26362889509124499</v>
      </c>
      <c r="J190" t="s">
        <v>50</v>
      </c>
      <c r="K190">
        <v>7</v>
      </c>
      <c r="L190" t="s">
        <v>31</v>
      </c>
      <c r="M190" t="s">
        <v>32</v>
      </c>
      <c r="N190" t="s">
        <v>29</v>
      </c>
      <c r="O190" t="s">
        <v>29</v>
      </c>
      <c r="P190" t="s">
        <v>29</v>
      </c>
      <c r="Q190" t="s">
        <v>23</v>
      </c>
      <c r="R190" t="s">
        <v>24</v>
      </c>
      <c r="S190" t="s">
        <v>23</v>
      </c>
      <c r="T190" t="str">
        <f t="shared" si="4"/>
        <v>low risk</v>
      </c>
      <c r="U190" t="str">
        <f t="shared" si="5"/>
        <v>average</v>
      </c>
    </row>
    <row r="191" spans="1:21">
      <c r="A191" t="s">
        <v>227</v>
      </c>
      <c r="B191">
        <v>19</v>
      </c>
      <c r="C191">
        <v>162851</v>
      </c>
      <c r="D191">
        <v>523</v>
      </c>
      <c r="E191">
        <v>0.14427383335803901</v>
      </c>
      <c r="F191">
        <v>6</v>
      </c>
      <c r="G191">
        <v>0</v>
      </c>
      <c r="H191">
        <v>44437</v>
      </c>
      <c r="I191">
        <v>0.34773506397364701</v>
      </c>
      <c r="J191" t="s">
        <v>43</v>
      </c>
      <c r="K191">
        <v>14</v>
      </c>
      <c r="L191" t="s">
        <v>37</v>
      </c>
      <c r="M191" t="s">
        <v>32</v>
      </c>
      <c r="N191" t="s">
        <v>24</v>
      </c>
      <c r="O191" t="s">
        <v>29</v>
      </c>
      <c r="P191" t="s">
        <v>29</v>
      </c>
      <c r="Q191" t="s">
        <v>23</v>
      </c>
      <c r="R191" t="s">
        <v>29</v>
      </c>
      <c r="S191" t="s">
        <v>23</v>
      </c>
      <c r="T191" t="str">
        <f t="shared" si="4"/>
        <v>Medium risk</v>
      </c>
      <c r="U191" t="str">
        <f t="shared" si="5"/>
        <v>average</v>
      </c>
    </row>
    <row r="192" spans="1:21">
      <c r="A192" t="s">
        <v>228</v>
      </c>
      <c r="B192">
        <v>59</v>
      </c>
      <c r="C192">
        <v>183513</v>
      </c>
      <c r="D192">
        <v>800</v>
      </c>
      <c r="E192">
        <v>0.75103969689064998</v>
      </c>
      <c r="F192">
        <v>3</v>
      </c>
      <c r="G192">
        <v>1</v>
      </c>
      <c r="H192">
        <v>49016</v>
      </c>
      <c r="I192">
        <v>0.32929882083349699</v>
      </c>
      <c r="J192" t="s">
        <v>26</v>
      </c>
      <c r="K192">
        <v>2</v>
      </c>
      <c r="L192" t="s">
        <v>27</v>
      </c>
      <c r="M192" t="s">
        <v>32</v>
      </c>
      <c r="N192" t="s">
        <v>24</v>
      </c>
      <c r="O192" t="s">
        <v>29</v>
      </c>
      <c r="P192" t="s">
        <v>23</v>
      </c>
      <c r="Q192" t="s">
        <v>23</v>
      </c>
      <c r="R192" t="s">
        <v>23</v>
      </c>
      <c r="S192" t="s">
        <v>29</v>
      </c>
      <c r="T192" t="str">
        <f t="shared" si="4"/>
        <v>High risk</v>
      </c>
      <c r="U192" t="str">
        <f t="shared" si="5"/>
        <v>average</v>
      </c>
    </row>
    <row r="193" spans="1:21">
      <c r="A193" t="s">
        <v>229</v>
      </c>
      <c r="B193">
        <v>62</v>
      </c>
      <c r="C193">
        <v>42192</v>
      </c>
      <c r="D193">
        <v>301</v>
      </c>
      <c r="E193">
        <v>0.53768320165948502</v>
      </c>
      <c r="F193">
        <v>1</v>
      </c>
      <c r="G193">
        <v>0</v>
      </c>
      <c r="I193">
        <v>0.33776145063289398</v>
      </c>
      <c r="J193" t="s">
        <v>43</v>
      </c>
      <c r="K193">
        <v>14</v>
      </c>
      <c r="L193" t="s">
        <v>21</v>
      </c>
      <c r="M193" t="s">
        <v>53</v>
      </c>
      <c r="N193" t="s">
        <v>24</v>
      </c>
      <c r="O193" t="s">
        <v>24</v>
      </c>
      <c r="P193" t="s">
        <v>23</v>
      </c>
      <c r="Q193" t="s">
        <v>24</v>
      </c>
      <c r="R193" t="s">
        <v>29</v>
      </c>
      <c r="S193" t="s">
        <v>23</v>
      </c>
      <c r="T193" t="str">
        <f t="shared" si="4"/>
        <v>low risk</v>
      </c>
      <c r="U193" t="str">
        <f t="shared" si="5"/>
        <v>poor</v>
      </c>
    </row>
    <row r="194" spans="1:21">
      <c r="A194" t="s">
        <v>230</v>
      </c>
      <c r="B194">
        <v>74</v>
      </c>
      <c r="C194">
        <v>32019</v>
      </c>
      <c r="D194">
        <v>475</v>
      </c>
      <c r="E194">
        <v>0.47481220541063301</v>
      </c>
      <c r="F194">
        <v>4</v>
      </c>
      <c r="G194">
        <v>0</v>
      </c>
      <c r="H194">
        <v>22835</v>
      </c>
      <c r="I194">
        <v>0.339259766446598</v>
      </c>
      <c r="J194" t="s">
        <v>26</v>
      </c>
      <c r="K194">
        <v>12</v>
      </c>
      <c r="L194" t="s">
        <v>45</v>
      </c>
      <c r="M194" t="s">
        <v>22</v>
      </c>
      <c r="N194" t="s">
        <v>29</v>
      </c>
      <c r="O194" t="s">
        <v>29</v>
      </c>
      <c r="P194" t="s">
        <v>29</v>
      </c>
      <c r="Q194" t="s">
        <v>29</v>
      </c>
      <c r="R194" t="s">
        <v>24</v>
      </c>
      <c r="S194" t="s">
        <v>24</v>
      </c>
      <c r="T194" t="str">
        <f t="shared" si="4"/>
        <v>Medium risk</v>
      </c>
      <c r="U194" t="str">
        <f t="shared" si="5"/>
        <v>average</v>
      </c>
    </row>
    <row r="195" spans="1:21">
      <c r="A195" t="s">
        <v>231</v>
      </c>
      <c r="B195">
        <v>70</v>
      </c>
      <c r="C195">
        <v>67638</v>
      </c>
      <c r="D195">
        <v>612</v>
      </c>
      <c r="E195">
        <v>0.35650296278378302</v>
      </c>
      <c r="F195">
        <v>0</v>
      </c>
      <c r="G195">
        <v>0</v>
      </c>
      <c r="H195">
        <v>34897</v>
      </c>
      <c r="I195">
        <v>0.45905033445648302</v>
      </c>
      <c r="J195" t="s">
        <v>40</v>
      </c>
      <c r="K195">
        <v>8</v>
      </c>
      <c r="L195" t="s">
        <v>27</v>
      </c>
      <c r="M195" t="s">
        <v>53</v>
      </c>
      <c r="N195" t="s">
        <v>24</v>
      </c>
      <c r="O195" t="s">
        <v>23</v>
      </c>
      <c r="P195" t="s">
        <v>24</v>
      </c>
      <c r="Q195" t="s">
        <v>24</v>
      </c>
      <c r="R195" t="s">
        <v>24</v>
      </c>
      <c r="S195" t="s">
        <v>24</v>
      </c>
      <c r="T195" t="str">
        <f t="shared" ref="T195:T258" si="6">IF(G195=1,"High risk", IF(F195&gt;= 2, "Medium risk", "low risk"))</f>
        <v>low risk</v>
      </c>
      <c r="U195" t="str">
        <f t="shared" ref="U195:U258" si="7">IF(COUNTIF(N195:S195,"Missed") &gt;= 3, "poor", IF(COUNTIF(N195:S195,"Missed") &gt;= 1, "average", "good"))</f>
        <v>poor</v>
      </c>
    </row>
    <row r="196" spans="1:21">
      <c r="A196" t="s">
        <v>232</v>
      </c>
      <c r="B196">
        <v>23</v>
      </c>
      <c r="C196">
        <v>198401</v>
      </c>
      <c r="D196">
        <v>820</v>
      </c>
      <c r="E196">
        <v>0.505955852646924</v>
      </c>
      <c r="F196">
        <v>2</v>
      </c>
      <c r="G196">
        <v>1</v>
      </c>
      <c r="H196">
        <v>42556</v>
      </c>
      <c r="I196">
        <v>0.25403231315107</v>
      </c>
      <c r="J196" t="s">
        <v>20</v>
      </c>
      <c r="K196">
        <v>1</v>
      </c>
      <c r="L196" t="s">
        <v>45</v>
      </c>
      <c r="M196" t="s">
        <v>28</v>
      </c>
      <c r="N196" t="s">
        <v>24</v>
      </c>
      <c r="O196" t="s">
        <v>24</v>
      </c>
      <c r="P196" t="s">
        <v>24</v>
      </c>
      <c r="Q196" t="s">
        <v>23</v>
      </c>
      <c r="R196" t="s">
        <v>29</v>
      </c>
      <c r="S196" t="s">
        <v>23</v>
      </c>
      <c r="T196" t="str">
        <f t="shared" si="6"/>
        <v>High risk</v>
      </c>
      <c r="U196" t="str">
        <f t="shared" si="7"/>
        <v>poor</v>
      </c>
    </row>
    <row r="197" spans="1:21">
      <c r="A197" t="s">
        <v>233</v>
      </c>
      <c r="B197">
        <v>45</v>
      </c>
      <c r="C197">
        <v>153429</v>
      </c>
      <c r="D197">
        <v>836</v>
      </c>
      <c r="E197">
        <v>0.33040402446893302</v>
      </c>
      <c r="F197">
        <v>5</v>
      </c>
      <c r="G197">
        <v>0</v>
      </c>
      <c r="I197">
        <v>0.147426409679631</v>
      </c>
      <c r="J197" t="s">
        <v>50</v>
      </c>
      <c r="K197">
        <v>7</v>
      </c>
      <c r="L197" t="s">
        <v>37</v>
      </c>
      <c r="M197" t="s">
        <v>53</v>
      </c>
      <c r="N197" t="s">
        <v>23</v>
      </c>
      <c r="O197" t="s">
        <v>29</v>
      </c>
      <c r="P197" t="s">
        <v>24</v>
      </c>
      <c r="Q197" t="s">
        <v>23</v>
      </c>
      <c r="R197" t="s">
        <v>23</v>
      </c>
      <c r="S197" t="s">
        <v>24</v>
      </c>
      <c r="T197" t="str">
        <f t="shared" si="6"/>
        <v>Medium risk</v>
      </c>
      <c r="U197" t="str">
        <f t="shared" si="7"/>
        <v>average</v>
      </c>
    </row>
    <row r="198" spans="1:21">
      <c r="A198" t="s">
        <v>234</v>
      </c>
      <c r="B198">
        <v>45</v>
      </c>
      <c r="C198">
        <v>141020</v>
      </c>
      <c r="D198">
        <v>670</v>
      </c>
      <c r="E198">
        <v>0.53480371132411997</v>
      </c>
      <c r="F198">
        <v>6</v>
      </c>
      <c r="G198">
        <v>0</v>
      </c>
      <c r="H198">
        <v>39259</v>
      </c>
      <c r="I198">
        <v>0.23021262313841101</v>
      </c>
      <c r="J198" t="s">
        <v>50</v>
      </c>
      <c r="K198">
        <v>19</v>
      </c>
      <c r="L198" t="s">
        <v>37</v>
      </c>
      <c r="M198" t="s">
        <v>28</v>
      </c>
      <c r="N198" t="s">
        <v>29</v>
      </c>
      <c r="O198" t="s">
        <v>23</v>
      </c>
      <c r="P198" t="s">
        <v>29</v>
      </c>
      <c r="Q198" t="s">
        <v>24</v>
      </c>
      <c r="R198" t="s">
        <v>23</v>
      </c>
      <c r="S198" t="s">
        <v>24</v>
      </c>
      <c r="T198" t="str">
        <f t="shared" si="6"/>
        <v>Medium risk</v>
      </c>
      <c r="U198" t="str">
        <f t="shared" si="7"/>
        <v>average</v>
      </c>
    </row>
    <row r="199" spans="1:21">
      <c r="A199" t="s">
        <v>235</v>
      </c>
      <c r="B199">
        <v>61</v>
      </c>
      <c r="C199">
        <v>59238</v>
      </c>
      <c r="D199">
        <v>847</v>
      </c>
      <c r="E199">
        <v>0.54914679658427001</v>
      </c>
      <c r="F199">
        <v>5</v>
      </c>
      <c r="G199">
        <v>1</v>
      </c>
      <c r="H199">
        <v>22835</v>
      </c>
      <c r="I199">
        <v>0.37572669335353998</v>
      </c>
      <c r="J199" t="s">
        <v>34</v>
      </c>
      <c r="K199">
        <v>16</v>
      </c>
      <c r="L199" t="s">
        <v>27</v>
      </c>
      <c r="M199" t="s">
        <v>38</v>
      </c>
      <c r="N199" t="s">
        <v>29</v>
      </c>
      <c r="O199" t="s">
        <v>24</v>
      </c>
      <c r="P199" t="s">
        <v>24</v>
      </c>
      <c r="Q199" t="s">
        <v>29</v>
      </c>
      <c r="R199" t="s">
        <v>29</v>
      </c>
      <c r="S199" t="s">
        <v>29</v>
      </c>
      <c r="T199" t="str">
        <f t="shared" si="6"/>
        <v>High risk</v>
      </c>
      <c r="U199" t="str">
        <f t="shared" si="7"/>
        <v>average</v>
      </c>
    </row>
    <row r="200" spans="1:21">
      <c r="A200" t="s">
        <v>236</v>
      </c>
      <c r="B200">
        <v>61</v>
      </c>
      <c r="C200">
        <v>88847</v>
      </c>
      <c r="D200">
        <v>751</v>
      </c>
      <c r="E200">
        <v>0.327723259528651</v>
      </c>
      <c r="F200">
        <v>4</v>
      </c>
      <c r="G200">
        <v>0</v>
      </c>
      <c r="H200">
        <v>72809</v>
      </c>
      <c r="I200">
        <v>0.30233295086471701</v>
      </c>
      <c r="J200" t="s">
        <v>43</v>
      </c>
      <c r="K200">
        <v>12</v>
      </c>
      <c r="L200" t="s">
        <v>45</v>
      </c>
      <c r="M200" t="s">
        <v>38</v>
      </c>
      <c r="N200" t="s">
        <v>24</v>
      </c>
      <c r="O200" t="s">
        <v>23</v>
      </c>
      <c r="P200" t="s">
        <v>23</v>
      </c>
      <c r="Q200" t="s">
        <v>29</v>
      </c>
      <c r="R200" t="s">
        <v>24</v>
      </c>
      <c r="S200" t="s">
        <v>24</v>
      </c>
      <c r="T200" t="str">
        <f t="shared" si="6"/>
        <v>Medium risk</v>
      </c>
      <c r="U200" t="str">
        <f t="shared" si="7"/>
        <v>poor</v>
      </c>
    </row>
    <row r="201" spans="1:21">
      <c r="A201" t="s">
        <v>237</v>
      </c>
      <c r="B201">
        <v>37</v>
      </c>
      <c r="C201">
        <v>69098</v>
      </c>
      <c r="D201">
        <v>648</v>
      </c>
      <c r="E201">
        <v>0.32390760703551802</v>
      </c>
      <c r="F201">
        <v>6</v>
      </c>
      <c r="G201">
        <v>0</v>
      </c>
      <c r="H201">
        <v>85014</v>
      </c>
      <c r="I201">
        <v>0.25324006595050003</v>
      </c>
      <c r="J201" t="s">
        <v>50</v>
      </c>
      <c r="K201">
        <v>0</v>
      </c>
      <c r="L201" t="s">
        <v>37</v>
      </c>
      <c r="M201" t="s">
        <v>28</v>
      </c>
      <c r="N201" t="s">
        <v>23</v>
      </c>
      <c r="O201" t="s">
        <v>23</v>
      </c>
      <c r="P201" t="s">
        <v>24</v>
      </c>
      <c r="Q201" t="s">
        <v>29</v>
      </c>
      <c r="R201" t="s">
        <v>29</v>
      </c>
      <c r="S201" t="s">
        <v>23</v>
      </c>
      <c r="T201" t="str">
        <f t="shared" si="6"/>
        <v>Medium risk</v>
      </c>
      <c r="U201" t="str">
        <f t="shared" si="7"/>
        <v>average</v>
      </c>
    </row>
    <row r="202" spans="1:21">
      <c r="A202" t="s">
        <v>238</v>
      </c>
      <c r="B202">
        <v>47</v>
      </c>
      <c r="C202">
        <v>62295</v>
      </c>
      <c r="D202">
        <v>383</v>
      </c>
      <c r="E202">
        <v>0.69243987091902304</v>
      </c>
      <c r="F202">
        <v>6</v>
      </c>
      <c r="G202">
        <v>0</v>
      </c>
      <c r="H202">
        <v>49016</v>
      </c>
      <c r="I202">
        <v>0.192350273159035</v>
      </c>
      <c r="J202" t="s">
        <v>40</v>
      </c>
      <c r="K202">
        <v>1</v>
      </c>
      <c r="L202" t="s">
        <v>21</v>
      </c>
      <c r="M202" t="s">
        <v>28</v>
      </c>
      <c r="N202" t="s">
        <v>29</v>
      </c>
      <c r="O202" t="s">
        <v>23</v>
      </c>
      <c r="P202" t="s">
        <v>23</v>
      </c>
      <c r="Q202" t="s">
        <v>23</v>
      </c>
      <c r="R202" t="s">
        <v>24</v>
      </c>
      <c r="S202" t="s">
        <v>29</v>
      </c>
      <c r="T202" t="str">
        <f t="shared" si="6"/>
        <v>Medium risk</v>
      </c>
      <c r="U202" t="str">
        <f t="shared" si="7"/>
        <v>average</v>
      </c>
    </row>
    <row r="203" spans="1:21">
      <c r="A203" t="s">
        <v>239</v>
      </c>
      <c r="B203">
        <v>28</v>
      </c>
      <c r="C203">
        <v>164143</v>
      </c>
      <c r="D203">
        <v>310</v>
      </c>
      <c r="E203">
        <v>0.48942800914173901</v>
      </c>
      <c r="F203">
        <v>0</v>
      </c>
      <c r="G203">
        <v>0</v>
      </c>
      <c r="H203">
        <v>95376</v>
      </c>
      <c r="I203">
        <v>0.322128612173053</v>
      </c>
      <c r="J203" t="s">
        <v>20</v>
      </c>
      <c r="K203">
        <v>14</v>
      </c>
      <c r="L203" t="s">
        <v>31</v>
      </c>
      <c r="M203" t="s">
        <v>53</v>
      </c>
      <c r="N203" t="s">
        <v>24</v>
      </c>
      <c r="O203" t="s">
        <v>24</v>
      </c>
      <c r="P203" t="s">
        <v>24</v>
      </c>
      <c r="Q203" t="s">
        <v>24</v>
      </c>
      <c r="R203" t="s">
        <v>29</v>
      </c>
      <c r="S203" t="s">
        <v>24</v>
      </c>
      <c r="T203" t="str">
        <f t="shared" si="6"/>
        <v>low risk</v>
      </c>
      <c r="U203" t="str">
        <f t="shared" si="7"/>
        <v>poor</v>
      </c>
    </row>
    <row r="204" spans="1:21">
      <c r="A204" t="s">
        <v>240</v>
      </c>
      <c r="B204">
        <v>72</v>
      </c>
      <c r="C204">
        <v>143778</v>
      </c>
      <c r="D204">
        <v>352</v>
      </c>
      <c r="E204">
        <v>0.34379591414702099</v>
      </c>
      <c r="F204">
        <v>6</v>
      </c>
      <c r="G204">
        <v>0</v>
      </c>
      <c r="H204">
        <v>10778</v>
      </c>
      <c r="I204">
        <v>0.36445062752738</v>
      </c>
      <c r="J204" t="s">
        <v>40</v>
      </c>
      <c r="K204">
        <v>11</v>
      </c>
      <c r="L204" t="s">
        <v>31</v>
      </c>
      <c r="M204" t="s">
        <v>28</v>
      </c>
      <c r="N204" t="s">
        <v>24</v>
      </c>
      <c r="O204" t="s">
        <v>29</v>
      </c>
      <c r="P204" t="s">
        <v>23</v>
      </c>
      <c r="Q204" t="s">
        <v>23</v>
      </c>
      <c r="R204" t="s">
        <v>24</v>
      </c>
      <c r="S204" t="s">
        <v>23</v>
      </c>
      <c r="T204" t="str">
        <f t="shared" si="6"/>
        <v>Medium risk</v>
      </c>
      <c r="U204" t="str">
        <f t="shared" si="7"/>
        <v>average</v>
      </c>
    </row>
    <row r="205" spans="1:21">
      <c r="A205" t="s">
        <v>241</v>
      </c>
      <c r="B205">
        <v>45</v>
      </c>
      <c r="C205">
        <v>154487</v>
      </c>
      <c r="D205">
        <v>725</v>
      </c>
      <c r="E205">
        <v>0.42589873966209602</v>
      </c>
      <c r="F205">
        <v>3</v>
      </c>
      <c r="G205">
        <v>0</v>
      </c>
      <c r="H205">
        <v>95930</v>
      </c>
      <c r="I205">
        <v>0.33058720550960202</v>
      </c>
      <c r="J205" t="s">
        <v>43</v>
      </c>
      <c r="K205">
        <v>13</v>
      </c>
      <c r="L205" t="s">
        <v>37</v>
      </c>
      <c r="M205" t="s">
        <v>22</v>
      </c>
      <c r="N205" t="s">
        <v>24</v>
      </c>
      <c r="O205" t="s">
        <v>23</v>
      </c>
      <c r="P205" t="s">
        <v>23</v>
      </c>
      <c r="Q205" t="s">
        <v>24</v>
      </c>
      <c r="R205" t="s">
        <v>24</v>
      </c>
      <c r="S205" t="s">
        <v>24</v>
      </c>
      <c r="T205" t="str">
        <f t="shared" si="6"/>
        <v>Medium risk</v>
      </c>
      <c r="U205" t="str">
        <f t="shared" si="7"/>
        <v>poor</v>
      </c>
    </row>
    <row r="206" spans="1:21">
      <c r="A206" t="s">
        <v>242</v>
      </c>
      <c r="B206">
        <v>42</v>
      </c>
      <c r="C206">
        <v>107658</v>
      </c>
      <c r="D206">
        <v>836</v>
      </c>
      <c r="E206">
        <v>0.29788118265867802</v>
      </c>
      <c r="F206">
        <v>1</v>
      </c>
      <c r="G206">
        <v>0</v>
      </c>
      <c r="H206">
        <v>27697</v>
      </c>
      <c r="I206">
        <v>0.27466696688450498</v>
      </c>
      <c r="J206" t="s">
        <v>34</v>
      </c>
      <c r="K206">
        <v>1</v>
      </c>
      <c r="L206" t="s">
        <v>45</v>
      </c>
      <c r="M206" t="s">
        <v>38</v>
      </c>
      <c r="N206" t="s">
        <v>23</v>
      </c>
      <c r="O206" t="s">
        <v>24</v>
      </c>
      <c r="P206" t="s">
        <v>29</v>
      </c>
      <c r="Q206" t="s">
        <v>23</v>
      </c>
      <c r="R206" t="s">
        <v>23</v>
      </c>
      <c r="S206" t="s">
        <v>29</v>
      </c>
      <c r="T206" t="str">
        <f t="shared" si="6"/>
        <v>low risk</v>
      </c>
      <c r="U206" t="str">
        <f t="shared" si="7"/>
        <v>average</v>
      </c>
    </row>
    <row r="207" spans="1:21">
      <c r="A207" t="s">
        <v>243</v>
      </c>
      <c r="B207">
        <v>56</v>
      </c>
      <c r="C207">
        <v>166456</v>
      </c>
      <c r="D207">
        <v>522</v>
      </c>
      <c r="E207">
        <v>0.48656328386761599</v>
      </c>
      <c r="F207">
        <v>1</v>
      </c>
      <c r="G207">
        <v>1</v>
      </c>
      <c r="H207">
        <v>33772</v>
      </c>
      <c r="I207">
        <v>0.314664128429746</v>
      </c>
      <c r="J207" t="s">
        <v>50</v>
      </c>
      <c r="K207">
        <v>17</v>
      </c>
      <c r="L207" t="s">
        <v>37</v>
      </c>
      <c r="M207" t="s">
        <v>38</v>
      </c>
      <c r="N207" t="s">
        <v>29</v>
      </c>
      <c r="O207" t="s">
        <v>29</v>
      </c>
      <c r="P207" t="s">
        <v>24</v>
      </c>
      <c r="Q207" t="s">
        <v>23</v>
      </c>
      <c r="R207" t="s">
        <v>24</v>
      </c>
      <c r="S207" t="s">
        <v>29</v>
      </c>
      <c r="T207" t="str">
        <f t="shared" si="6"/>
        <v>High risk</v>
      </c>
      <c r="U207" t="str">
        <f t="shared" si="7"/>
        <v>average</v>
      </c>
    </row>
    <row r="208" spans="1:21">
      <c r="A208" t="s">
        <v>244</v>
      </c>
      <c r="B208">
        <v>50</v>
      </c>
      <c r="C208">
        <v>36447</v>
      </c>
      <c r="D208">
        <v>610</v>
      </c>
      <c r="E208">
        <v>0.66632566153289297</v>
      </c>
      <c r="F208">
        <v>1</v>
      </c>
      <c r="G208">
        <v>0</v>
      </c>
      <c r="H208">
        <v>42637</v>
      </c>
      <c r="I208">
        <v>0.314084296655741</v>
      </c>
      <c r="J208" t="s">
        <v>40</v>
      </c>
      <c r="K208">
        <v>6</v>
      </c>
      <c r="L208" t="s">
        <v>45</v>
      </c>
      <c r="M208" t="s">
        <v>28</v>
      </c>
      <c r="N208" t="s">
        <v>29</v>
      </c>
      <c r="O208" t="s">
        <v>24</v>
      </c>
      <c r="P208" t="s">
        <v>24</v>
      </c>
      <c r="Q208" t="s">
        <v>23</v>
      </c>
      <c r="R208" t="s">
        <v>23</v>
      </c>
      <c r="S208" t="s">
        <v>23</v>
      </c>
      <c r="T208" t="str">
        <f t="shared" si="6"/>
        <v>low risk</v>
      </c>
      <c r="U208" t="str">
        <f t="shared" si="7"/>
        <v>average</v>
      </c>
    </row>
    <row r="209" spans="1:21">
      <c r="A209" t="s">
        <v>245</v>
      </c>
      <c r="B209">
        <v>18</v>
      </c>
      <c r="C209">
        <v>165159</v>
      </c>
      <c r="D209">
        <v>679</v>
      </c>
      <c r="E209">
        <v>0.49446586648114699</v>
      </c>
      <c r="F209">
        <v>3</v>
      </c>
      <c r="G209">
        <v>0</v>
      </c>
      <c r="H209">
        <v>3081</v>
      </c>
      <c r="I209">
        <v>0.31896969312176598</v>
      </c>
      <c r="J209" t="s">
        <v>26</v>
      </c>
      <c r="K209">
        <v>5</v>
      </c>
      <c r="L209" t="s">
        <v>21</v>
      </c>
      <c r="M209" t="s">
        <v>32</v>
      </c>
      <c r="N209" t="s">
        <v>24</v>
      </c>
      <c r="O209" t="s">
        <v>24</v>
      </c>
      <c r="P209" t="s">
        <v>29</v>
      </c>
      <c r="Q209" t="s">
        <v>29</v>
      </c>
      <c r="R209" t="s">
        <v>23</v>
      </c>
      <c r="S209" t="s">
        <v>29</v>
      </c>
      <c r="T209" t="str">
        <f t="shared" si="6"/>
        <v>Medium risk</v>
      </c>
      <c r="U209" t="str">
        <f t="shared" si="7"/>
        <v>average</v>
      </c>
    </row>
    <row r="210" spans="1:21">
      <c r="A210" t="s">
        <v>246</v>
      </c>
      <c r="B210">
        <v>74</v>
      </c>
      <c r="D210">
        <v>709</v>
      </c>
      <c r="E210">
        <v>0.97272668873507695</v>
      </c>
      <c r="F210">
        <v>5</v>
      </c>
      <c r="G210">
        <v>0</v>
      </c>
      <c r="I210">
        <v>0.18156950489808699</v>
      </c>
      <c r="J210" t="s">
        <v>20</v>
      </c>
      <c r="K210">
        <v>13</v>
      </c>
      <c r="L210" t="s">
        <v>45</v>
      </c>
      <c r="M210" t="s">
        <v>32</v>
      </c>
      <c r="N210" t="s">
        <v>29</v>
      </c>
      <c r="O210" t="s">
        <v>29</v>
      </c>
      <c r="P210" t="s">
        <v>24</v>
      </c>
      <c r="Q210" t="s">
        <v>24</v>
      </c>
      <c r="R210" t="s">
        <v>24</v>
      </c>
      <c r="S210" t="s">
        <v>29</v>
      </c>
      <c r="T210" t="str">
        <f t="shared" si="6"/>
        <v>Medium risk</v>
      </c>
      <c r="U210" t="str">
        <f t="shared" si="7"/>
        <v>poor</v>
      </c>
    </row>
    <row r="211" spans="1:21">
      <c r="A211" t="s">
        <v>247</v>
      </c>
      <c r="B211">
        <v>44</v>
      </c>
      <c r="C211">
        <v>40934</v>
      </c>
      <c r="D211">
        <v>566</v>
      </c>
      <c r="E211">
        <v>0.58427191360980002</v>
      </c>
      <c r="F211">
        <v>0</v>
      </c>
      <c r="G211">
        <v>0</v>
      </c>
      <c r="H211">
        <v>8828</v>
      </c>
      <c r="I211">
        <v>0.31973263506148702</v>
      </c>
      <c r="J211" t="s">
        <v>40</v>
      </c>
      <c r="K211">
        <v>7</v>
      </c>
      <c r="L211" t="s">
        <v>37</v>
      </c>
      <c r="M211" t="s">
        <v>28</v>
      </c>
      <c r="N211" t="s">
        <v>29</v>
      </c>
      <c r="O211" t="s">
        <v>29</v>
      </c>
      <c r="P211" t="s">
        <v>29</v>
      </c>
      <c r="Q211" t="s">
        <v>24</v>
      </c>
      <c r="R211" t="s">
        <v>24</v>
      </c>
      <c r="S211" t="s">
        <v>24</v>
      </c>
      <c r="T211" t="str">
        <f t="shared" si="6"/>
        <v>low risk</v>
      </c>
      <c r="U211" t="str">
        <f t="shared" si="7"/>
        <v>poor</v>
      </c>
    </row>
    <row r="212" spans="1:21">
      <c r="A212" t="s">
        <v>248</v>
      </c>
      <c r="B212">
        <v>74</v>
      </c>
      <c r="C212">
        <v>58088</v>
      </c>
      <c r="D212">
        <v>701</v>
      </c>
      <c r="E212">
        <v>0.54599088956844199</v>
      </c>
      <c r="F212">
        <v>6</v>
      </c>
      <c r="G212">
        <v>0</v>
      </c>
      <c r="H212">
        <v>1217</v>
      </c>
      <c r="I212">
        <v>0.25594035315337998</v>
      </c>
      <c r="J212" t="s">
        <v>20</v>
      </c>
      <c r="K212">
        <v>1</v>
      </c>
      <c r="L212" t="s">
        <v>21</v>
      </c>
      <c r="M212" t="s">
        <v>22</v>
      </c>
      <c r="N212" t="s">
        <v>23</v>
      </c>
      <c r="O212" t="s">
        <v>29</v>
      </c>
      <c r="P212" t="s">
        <v>24</v>
      </c>
      <c r="Q212" t="s">
        <v>24</v>
      </c>
      <c r="R212" t="s">
        <v>29</v>
      </c>
      <c r="S212" t="s">
        <v>29</v>
      </c>
      <c r="T212" t="str">
        <f t="shared" si="6"/>
        <v>Medium risk</v>
      </c>
      <c r="U212" t="str">
        <f t="shared" si="7"/>
        <v>average</v>
      </c>
    </row>
    <row r="213" spans="1:21">
      <c r="A213" t="s">
        <v>249</v>
      </c>
      <c r="B213">
        <v>69</v>
      </c>
      <c r="C213">
        <v>149415</v>
      </c>
      <c r="D213">
        <v>618</v>
      </c>
      <c r="E213">
        <v>0.31833957380683803</v>
      </c>
      <c r="F213">
        <v>3</v>
      </c>
      <c r="G213">
        <v>0</v>
      </c>
      <c r="H213">
        <v>83604</v>
      </c>
      <c r="I213">
        <v>0.40406186060097499</v>
      </c>
      <c r="J213" t="s">
        <v>50</v>
      </c>
      <c r="K213">
        <v>16</v>
      </c>
      <c r="L213" t="s">
        <v>27</v>
      </c>
      <c r="M213" t="s">
        <v>32</v>
      </c>
      <c r="N213" t="s">
        <v>23</v>
      </c>
      <c r="O213" t="s">
        <v>23</v>
      </c>
      <c r="P213" t="s">
        <v>24</v>
      </c>
      <c r="Q213" t="s">
        <v>29</v>
      </c>
      <c r="R213" t="s">
        <v>29</v>
      </c>
      <c r="S213" t="s">
        <v>24</v>
      </c>
      <c r="T213" t="str">
        <f t="shared" si="6"/>
        <v>Medium risk</v>
      </c>
      <c r="U213" t="str">
        <f t="shared" si="7"/>
        <v>average</v>
      </c>
    </row>
    <row r="214" spans="1:21">
      <c r="A214" t="s">
        <v>250</v>
      </c>
      <c r="B214">
        <v>30</v>
      </c>
      <c r="C214">
        <v>84836</v>
      </c>
      <c r="D214">
        <v>776</v>
      </c>
      <c r="E214">
        <v>0.45229331063146599</v>
      </c>
      <c r="F214">
        <v>1</v>
      </c>
      <c r="G214">
        <v>0</v>
      </c>
      <c r="H214">
        <v>82909</v>
      </c>
      <c r="I214">
        <v>0.31329186417502702</v>
      </c>
      <c r="J214" t="s">
        <v>26</v>
      </c>
      <c r="K214">
        <v>4</v>
      </c>
      <c r="L214" t="s">
        <v>31</v>
      </c>
      <c r="M214" t="s">
        <v>28</v>
      </c>
      <c r="N214" t="s">
        <v>23</v>
      </c>
      <c r="O214" t="s">
        <v>29</v>
      </c>
      <c r="P214" t="s">
        <v>23</v>
      </c>
      <c r="Q214" t="s">
        <v>29</v>
      </c>
      <c r="R214" t="s">
        <v>24</v>
      </c>
      <c r="S214" t="s">
        <v>29</v>
      </c>
      <c r="T214" t="str">
        <f t="shared" si="6"/>
        <v>low risk</v>
      </c>
      <c r="U214" t="str">
        <f t="shared" si="7"/>
        <v>average</v>
      </c>
    </row>
    <row r="215" spans="1:21">
      <c r="A215" t="s">
        <v>251</v>
      </c>
      <c r="B215">
        <v>58</v>
      </c>
      <c r="C215">
        <v>97986</v>
      </c>
      <c r="D215">
        <v>792</v>
      </c>
      <c r="E215">
        <v>0.34419723139326103</v>
      </c>
      <c r="F215">
        <v>4</v>
      </c>
      <c r="G215">
        <v>0</v>
      </c>
      <c r="H215">
        <v>13761</v>
      </c>
      <c r="I215">
        <v>0.383547922182289</v>
      </c>
      <c r="J215" t="s">
        <v>34</v>
      </c>
      <c r="K215">
        <v>13</v>
      </c>
      <c r="L215" t="s">
        <v>37</v>
      </c>
      <c r="M215" t="s">
        <v>22</v>
      </c>
      <c r="N215" t="s">
        <v>24</v>
      </c>
      <c r="O215" t="s">
        <v>23</v>
      </c>
      <c r="P215" t="s">
        <v>29</v>
      </c>
      <c r="Q215" t="s">
        <v>29</v>
      </c>
      <c r="R215" t="s">
        <v>23</v>
      </c>
      <c r="S215" t="s">
        <v>24</v>
      </c>
      <c r="T215" t="str">
        <f t="shared" si="6"/>
        <v>Medium risk</v>
      </c>
      <c r="U215" t="str">
        <f t="shared" si="7"/>
        <v>average</v>
      </c>
    </row>
    <row r="216" spans="1:21">
      <c r="A216" t="s">
        <v>252</v>
      </c>
      <c r="B216">
        <v>20</v>
      </c>
      <c r="C216">
        <v>166836</v>
      </c>
      <c r="D216">
        <v>600</v>
      </c>
      <c r="E216">
        <v>6.6870954319175197E-2</v>
      </c>
      <c r="F216">
        <v>2</v>
      </c>
      <c r="G216">
        <v>0</v>
      </c>
      <c r="H216">
        <v>47695</v>
      </c>
      <c r="I216">
        <v>0.269821861295024</v>
      </c>
      <c r="J216" t="s">
        <v>34</v>
      </c>
      <c r="K216">
        <v>19</v>
      </c>
      <c r="L216" t="s">
        <v>37</v>
      </c>
      <c r="M216" t="s">
        <v>22</v>
      </c>
      <c r="N216" t="s">
        <v>29</v>
      </c>
      <c r="O216" t="s">
        <v>24</v>
      </c>
      <c r="P216" t="s">
        <v>23</v>
      </c>
      <c r="Q216" t="s">
        <v>29</v>
      </c>
      <c r="R216" t="s">
        <v>29</v>
      </c>
      <c r="S216" t="s">
        <v>29</v>
      </c>
      <c r="T216" t="str">
        <f t="shared" si="6"/>
        <v>Medium risk</v>
      </c>
      <c r="U216" t="str">
        <f t="shared" si="7"/>
        <v>average</v>
      </c>
    </row>
    <row r="217" spans="1:21">
      <c r="A217" t="s">
        <v>253</v>
      </c>
      <c r="B217">
        <v>56</v>
      </c>
      <c r="C217">
        <v>191517</v>
      </c>
      <c r="D217">
        <v>781</v>
      </c>
      <c r="E217">
        <v>0.694852444425761</v>
      </c>
      <c r="F217">
        <v>6</v>
      </c>
      <c r="G217">
        <v>0</v>
      </c>
      <c r="H217">
        <v>11564</v>
      </c>
      <c r="I217">
        <v>0.27342861623885401</v>
      </c>
      <c r="J217" t="s">
        <v>26</v>
      </c>
      <c r="K217">
        <v>2</v>
      </c>
      <c r="L217" t="s">
        <v>37</v>
      </c>
      <c r="M217" t="s">
        <v>53</v>
      </c>
      <c r="N217" t="s">
        <v>23</v>
      </c>
      <c r="O217" t="s">
        <v>29</v>
      </c>
      <c r="P217" t="s">
        <v>29</v>
      </c>
      <c r="Q217" t="s">
        <v>29</v>
      </c>
      <c r="R217" t="s">
        <v>23</v>
      </c>
      <c r="S217" t="s">
        <v>24</v>
      </c>
      <c r="T217" t="str">
        <f t="shared" si="6"/>
        <v>Medium risk</v>
      </c>
      <c r="U217" t="str">
        <f t="shared" si="7"/>
        <v>average</v>
      </c>
    </row>
    <row r="218" spans="1:21">
      <c r="A218" t="s">
        <v>254</v>
      </c>
      <c r="B218">
        <v>23</v>
      </c>
      <c r="C218">
        <v>38289</v>
      </c>
      <c r="D218">
        <v>682</v>
      </c>
      <c r="E218">
        <v>0.39770988888995301</v>
      </c>
      <c r="F218">
        <v>3</v>
      </c>
      <c r="G218">
        <v>0</v>
      </c>
      <c r="H218">
        <v>43870</v>
      </c>
      <c r="I218">
        <v>0.449425124625633</v>
      </c>
      <c r="J218" t="s">
        <v>20</v>
      </c>
      <c r="K218">
        <v>4</v>
      </c>
      <c r="L218" t="s">
        <v>21</v>
      </c>
      <c r="M218" t="s">
        <v>22</v>
      </c>
      <c r="N218" t="s">
        <v>29</v>
      </c>
      <c r="O218" t="s">
        <v>24</v>
      </c>
      <c r="P218" t="s">
        <v>29</v>
      </c>
      <c r="Q218" t="s">
        <v>24</v>
      </c>
      <c r="R218" t="s">
        <v>24</v>
      </c>
      <c r="S218" t="s">
        <v>24</v>
      </c>
      <c r="T218" t="str">
        <f t="shared" si="6"/>
        <v>Medium risk</v>
      </c>
      <c r="U218" t="str">
        <f t="shared" si="7"/>
        <v>poor</v>
      </c>
    </row>
    <row r="219" spans="1:21">
      <c r="A219" t="s">
        <v>255</v>
      </c>
      <c r="B219">
        <v>25</v>
      </c>
      <c r="C219">
        <v>115497</v>
      </c>
      <c r="D219">
        <v>617</v>
      </c>
      <c r="E219">
        <v>0.34791998513333799</v>
      </c>
      <c r="F219">
        <v>3</v>
      </c>
      <c r="G219">
        <v>0</v>
      </c>
      <c r="H219">
        <v>92149</v>
      </c>
      <c r="I219">
        <v>0.34363351884155002</v>
      </c>
      <c r="J219" t="s">
        <v>50</v>
      </c>
      <c r="K219">
        <v>15</v>
      </c>
      <c r="L219" t="s">
        <v>27</v>
      </c>
      <c r="M219" t="s">
        <v>32</v>
      </c>
      <c r="N219" t="s">
        <v>29</v>
      </c>
      <c r="O219" t="s">
        <v>23</v>
      </c>
      <c r="P219" t="s">
        <v>23</v>
      </c>
      <c r="Q219" t="s">
        <v>29</v>
      </c>
      <c r="R219" t="s">
        <v>24</v>
      </c>
      <c r="S219" t="s">
        <v>24</v>
      </c>
      <c r="T219" t="str">
        <f t="shared" si="6"/>
        <v>Medium risk</v>
      </c>
      <c r="U219" t="str">
        <f t="shared" si="7"/>
        <v>average</v>
      </c>
    </row>
    <row r="220" spans="1:21">
      <c r="A220" t="s">
        <v>256</v>
      </c>
      <c r="B220">
        <v>44</v>
      </c>
      <c r="C220">
        <v>72108</v>
      </c>
      <c r="D220">
        <v>339</v>
      </c>
      <c r="E220">
        <v>0.54211400679169297</v>
      </c>
      <c r="F220">
        <v>0</v>
      </c>
      <c r="G220">
        <v>0</v>
      </c>
      <c r="H220">
        <v>23748</v>
      </c>
      <c r="I220">
        <v>0.22854854675942601</v>
      </c>
      <c r="J220" t="s">
        <v>40</v>
      </c>
      <c r="K220">
        <v>17</v>
      </c>
      <c r="L220" t="s">
        <v>45</v>
      </c>
      <c r="M220" t="s">
        <v>32</v>
      </c>
      <c r="N220" t="s">
        <v>29</v>
      </c>
      <c r="O220" t="s">
        <v>29</v>
      </c>
      <c r="P220" t="s">
        <v>23</v>
      </c>
      <c r="Q220" t="s">
        <v>24</v>
      </c>
      <c r="R220" t="s">
        <v>29</v>
      </c>
      <c r="S220" t="s">
        <v>24</v>
      </c>
      <c r="T220" t="str">
        <f t="shared" si="6"/>
        <v>low risk</v>
      </c>
      <c r="U220" t="str">
        <f t="shared" si="7"/>
        <v>average</v>
      </c>
    </row>
    <row r="221" spans="1:21">
      <c r="A221" t="s">
        <v>257</v>
      </c>
      <c r="B221">
        <v>26</v>
      </c>
      <c r="C221">
        <v>54298</v>
      </c>
      <c r="D221">
        <v>836</v>
      </c>
      <c r="E221">
        <v>0.60249991044430296</v>
      </c>
      <c r="F221">
        <v>0</v>
      </c>
      <c r="G221">
        <v>0</v>
      </c>
      <c r="H221">
        <v>15424</v>
      </c>
      <c r="I221">
        <v>0.38969744386204702</v>
      </c>
      <c r="J221" t="s">
        <v>26</v>
      </c>
      <c r="K221">
        <v>16</v>
      </c>
      <c r="L221" t="s">
        <v>27</v>
      </c>
      <c r="M221" t="s">
        <v>28</v>
      </c>
      <c r="N221" t="s">
        <v>29</v>
      </c>
      <c r="O221" t="s">
        <v>24</v>
      </c>
      <c r="P221" t="s">
        <v>23</v>
      </c>
      <c r="Q221" t="s">
        <v>24</v>
      </c>
      <c r="R221" t="s">
        <v>24</v>
      </c>
      <c r="S221" t="s">
        <v>24</v>
      </c>
      <c r="T221" t="str">
        <f t="shared" si="6"/>
        <v>low risk</v>
      </c>
      <c r="U221" t="str">
        <f t="shared" si="7"/>
        <v>poor</v>
      </c>
    </row>
    <row r="222" spans="1:21">
      <c r="A222" t="s">
        <v>258</v>
      </c>
      <c r="B222">
        <v>54</v>
      </c>
      <c r="C222">
        <v>187312</v>
      </c>
      <c r="D222">
        <v>825</v>
      </c>
      <c r="E222">
        <v>0.43584503341874398</v>
      </c>
      <c r="F222">
        <v>3</v>
      </c>
      <c r="G222">
        <v>0</v>
      </c>
      <c r="H222">
        <v>21613</v>
      </c>
      <c r="I222">
        <v>0.24666952665721201</v>
      </c>
      <c r="J222" t="s">
        <v>43</v>
      </c>
      <c r="K222">
        <v>10</v>
      </c>
      <c r="L222" t="s">
        <v>21</v>
      </c>
      <c r="M222" t="s">
        <v>28</v>
      </c>
      <c r="N222" t="s">
        <v>23</v>
      </c>
      <c r="O222" t="s">
        <v>24</v>
      </c>
      <c r="P222" t="s">
        <v>29</v>
      </c>
      <c r="Q222" t="s">
        <v>23</v>
      </c>
      <c r="R222" t="s">
        <v>24</v>
      </c>
      <c r="S222" t="s">
        <v>23</v>
      </c>
      <c r="T222" t="str">
        <f t="shared" si="6"/>
        <v>Medium risk</v>
      </c>
      <c r="U222" t="str">
        <f t="shared" si="7"/>
        <v>average</v>
      </c>
    </row>
    <row r="223" spans="1:21">
      <c r="A223" t="s">
        <v>259</v>
      </c>
      <c r="B223">
        <v>50</v>
      </c>
      <c r="C223">
        <v>146456</v>
      </c>
      <c r="D223">
        <v>768</v>
      </c>
      <c r="E223">
        <v>0.49947966647819603</v>
      </c>
      <c r="F223">
        <v>1</v>
      </c>
      <c r="G223">
        <v>1</v>
      </c>
      <c r="H223">
        <v>41743</v>
      </c>
      <c r="I223">
        <v>0.32256981378115201</v>
      </c>
      <c r="J223" t="s">
        <v>20</v>
      </c>
      <c r="K223">
        <v>16</v>
      </c>
      <c r="L223" t="s">
        <v>37</v>
      </c>
      <c r="M223" t="s">
        <v>22</v>
      </c>
      <c r="N223" t="s">
        <v>23</v>
      </c>
      <c r="O223" t="s">
        <v>23</v>
      </c>
      <c r="P223" t="s">
        <v>24</v>
      </c>
      <c r="Q223" t="s">
        <v>24</v>
      </c>
      <c r="R223" t="s">
        <v>29</v>
      </c>
      <c r="S223" t="s">
        <v>23</v>
      </c>
      <c r="T223" t="str">
        <f t="shared" si="6"/>
        <v>High risk</v>
      </c>
      <c r="U223" t="str">
        <f t="shared" si="7"/>
        <v>average</v>
      </c>
    </row>
    <row r="224" spans="1:21">
      <c r="A224" t="s">
        <v>260</v>
      </c>
      <c r="B224">
        <v>68</v>
      </c>
      <c r="C224">
        <v>52131</v>
      </c>
      <c r="D224">
        <v>565</v>
      </c>
      <c r="E224">
        <v>0.64923748146287996</v>
      </c>
      <c r="F224">
        <v>2</v>
      </c>
      <c r="G224">
        <v>0</v>
      </c>
      <c r="H224">
        <v>24851</v>
      </c>
      <c r="I224">
        <v>0.48366746308594</v>
      </c>
      <c r="J224" t="s">
        <v>34</v>
      </c>
      <c r="K224">
        <v>15</v>
      </c>
      <c r="L224" t="s">
        <v>31</v>
      </c>
      <c r="M224" t="s">
        <v>38</v>
      </c>
      <c r="N224" t="s">
        <v>24</v>
      </c>
      <c r="O224" t="s">
        <v>29</v>
      </c>
      <c r="P224" t="s">
        <v>23</v>
      </c>
      <c r="Q224" t="s">
        <v>29</v>
      </c>
      <c r="R224" t="s">
        <v>23</v>
      </c>
      <c r="S224" t="s">
        <v>23</v>
      </c>
      <c r="T224" t="str">
        <f t="shared" si="6"/>
        <v>Medium risk</v>
      </c>
      <c r="U224" t="str">
        <f t="shared" si="7"/>
        <v>average</v>
      </c>
    </row>
    <row r="225" spans="1:21">
      <c r="A225" t="s">
        <v>261</v>
      </c>
      <c r="B225">
        <v>59</v>
      </c>
      <c r="C225">
        <v>88963</v>
      </c>
      <c r="D225">
        <v>572</v>
      </c>
      <c r="E225">
        <v>0.42796128107801001</v>
      </c>
      <c r="F225">
        <v>6</v>
      </c>
      <c r="G225">
        <v>0</v>
      </c>
      <c r="H225">
        <v>41958</v>
      </c>
      <c r="I225">
        <v>0.15687176123619401</v>
      </c>
      <c r="J225" t="s">
        <v>26</v>
      </c>
      <c r="K225">
        <v>1</v>
      </c>
      <c r="L225" t="s">
        <v>37</v>
      </c>
      <c r="M225" t="s">
        <v>53</v>
      </c>
      <c r="N225" t="s">
        <v>29</v>
      </c>
      <c r="O225" t="s">
        <v>24</v>
      </c>
      <c r="P225" t="s">
        <v>29</v>
      </c>
      <c r="Q225" t="s">
        <v>23</v>
      </c>
      <c r="R225" t="s">
        <v>24</v>
      </c>
      <c r="S225" t="s">
        <v>29</v>
      </c>
      <c r="T225" t="str">
        <f t="shared" si="6"/>
        <v>Medium risk</v>
      </c>
      <c r="U225" t="str">
        <f t="shared" si="7"/>
        <v>average</v>
      </c>
    </row>
    <row r="226" spans="1:21">
      <c r="A226" t="s">
        <v>262</v>
      </c>
      <c r="B226">
        <v>61</v>
      </c>
      <c r="D226">
        <v>535</v>
      </c>
      <c r="E226">
        <v>0.56046674835266597</v>
      </c>
      <c r="F226">
        <v>0</v>
      </c>
      <c r="G226">
        <v>0</v>
      </c>
      <c r="H226">
        <v>98062</v>
      </c>
      <c r="I226">
        <v>0.28242180782334603</v>
      </c>
      <c r="J226" t="s">
        <v>34</v>
      </c>
      <c r="K226">
        <v>3</v>
      </c>
      <c r="L226" t="s">
        <v>45</v>
      </c>
      <c r="M226" t="s">
        <v>38</v>
      </c>
      <c r="N226" t="s">
        <v>23</v>
      </c>
      <c r="O226" t="s">
        <v>29</v>
      </c>
      <c r="P226" t="s">
        <v>29</v>
      </c>
      <c r="Q226" t="s">
        <v>23</v>
      </c>
      <c r="R226" t="s">
        <v>23</v>
      </c>
      <c r="S226" t="s">
        <v>24</v>
      </c>
      <c r="T226" t="str">
        <f t="shared" si="6"/>
        <v>low risk</v>
      </c>
      <c r="U226" t="str">
        <f t="shared" si="7"/>
        <v>average</v>
      </c>
    </row>
    <row r="227" spans="1:21">
      <c r="A227" t="s">
        <v>263</v>
      </c>
      <c r="B227">
        <v>41</v>
      </c>
      <c r="C227">
        <v>180983</v>
      </c>
      <c r="D227">
        <v>776</v>
      </c>
      <c r="E227">
        <v>0.168151076322169</v>
      </c>
      <c r="F227">
        <v>6</v>
      </c>
      <c r="G227">
        <v>0</v>
      </c>
      <c r="H227">
        <v>14756</v>
      </c>
      <c r="I227">
        <v>0.34082716409020303</v>
      </c>
      <c r="J227" t="s">
        <v>20</v>
      </c>
      <c r="K227">
        <v>6</v>
      </c>
      <c r="L227" t="s">
        <v>31</v>
      </c>
      <c r="M227" t="s">
        <v>22</v>
      </c>
      <c r="N227" t="s">
        <v>24</v>
      </c>
      <c r="O227" t="s">
        <v>29</v>
      </c>
      <c r="P227" t="s">
        <v>29</v>
      </c>
      <c r="Q227" t="s">
        <v>23</v>
      </c>
      <c r="R227" t="s">
        <v>23</v>
      </c>
      <c r="S227" t="s">
        <v>23</v>
      </c>
      <c r="T227" t="str">
        <f t="shared" si="6"/>
        <v>Medium risk</v>
      </c>
      <c r="U227" t="str">
        <f t="shared" si="7"/>
        <v>average</v>
      </c>
    </row>
    <row r="228" spans="1:21">
      <c r="A228" t="s">
        <v>264</v>
      </c>
      <c r="B228">
        <v>32</v>
      </c>
      <c r="C228">
        <v>20569</v>
      </c>
      <c r="D228">
        <v>823</v>
      </c>
      <c r="E228">
        <v>0.25173620031444999</v>
      </c>
      <c r="F228">
        <v>1</v>
      </c>
      <c r="G228">
        <v>0</v>
      </c>
      <c r="H228">
        <v>11061</v>
      </c>
      <c r="I228">
        <v>0.37646983346646701</v>
      </c>
      <c r="J228" t="s">
        <v>34</v>
      </c>
      <c r="K228">
        <v>1</v>
      </c>
      <c r="L228" t="s">
        <v>37</v>
      </c>
      <c r="M228" t="s">
        <v>22</v>
      </c>
      <c r="N228" t="s">
        <v>23</v>
      </c>
      <c r="O228" t="s">
        <v>23</v>
      </c>
      <c r="P228" t="s">
        <v>24</v>
      </c>
      <c r="Q228" t="s">
        <v>24</v>
      </c>
      <c r="R228" t="s">
        <v>29</v>
      </c>
      <c r="S228" t="s">
        <v>24</v>
      </c>
      <c r="T228" t="str">
        <f t="shared" si="6"/>
        <v>low risk</v>
      </c>
      <c r="U228" t="str">
        <f t="shared" si="7"/>
        <v>poor</v>
      </c>
    </row>
    <row r="229" spans="1:21">
      <c r="A229" t="s">
        <v>265</v>
      </c>
      <c r="B229">
        <v>71</v>
      </c>
      <c r="C229">
        <v>150683</v>
      </c>
      <c r="D229">
        <v>820</v>
      </c>
      <c r="E229">
        <v>0.62110795561608001</v>
      </c>
      <c r="F229">
        <v>6</v>
      </c>
      <c r="G229">
        <v>0</v>
      </c>
      <c r="H229">
        <v>11308</v>
      </c>
      <c r="I229">
        <v>0.17587660926391199</v>
      </c>
      <c r="J229" t="s">
        <v>26</v>
      </c>
      <c r="K229">
        <v>5</v>
      </c>
      <c r="L229" t="s">
        <v>31</v>
      </c>
      <c r="M229" t="s">
        <v>38</v>
      </c>
      <c r="N229" t="s">
        <v>24</v>
      </c>
      <c r="O229" t="s">
        <v>24</v>
      </c>
      <c r="P229" t="s">
        <v>24</v>
      </c>
      <c r="Q229" t="s">
        <v>29</v>
      </c>
      <c r="R229" t="s">
        <v>24</v>
      </c>
      <c r="S229" t="s">
        <v>23</v>
      </c>
      <c r="T229" t="str">
        <f t="shared" si="6"/>
        <v>Medium risk</v>
      </c>
      <c r="U229" t="str">
        <f t="shared" si="7"/>
        <v>poor</v>
      </c>
    </row>
    <row r="230" spans="1:21">
      <c r="A230" t="s">
        <v>266</v>
      </c>
      <c r="B230">
        <v>49</v>
      </c>
      <c r="D230">
        <v>753</v>
      </c>
      <c r="E230">
        <v>0.24128827216654</v>
      </c>
      <c r="F230">
        <v>4</v>
      </c>
      <c r="G230">
        <v>0</v>
      </c>
      <c r="H230">
        <v>62010</v>
      </c>
      <c r="I230">
        <v>0.146420973142498</v>
      </c>
      <c r="J230" t="s">
        <v>20</v>
      </c>
      <c r="K230">
        <v>16</v>
      </c>
      <c r="L230" t="s">
        <v>27</v>
      </c>
      <c r="M230" t="s">
        <v>53</v>
      </c>
      <c r="N230" t="s">
        <v>23</v>
      </c>
      <c r="O230" t="s">
        <v>23</v>
      </c>
      <c r="P230" t="s">
        <v>29</v>
      </c>
      <c r="Q230" t="s">
        <v>23</v>
      </c>
      <c r="R230" t="s">
        <v>24</v>
      </c>
      <c r="S230" t="s">
        <v>24</v>
      </c>
      <c r="T230" t="str">
        <f t="shared" si="6"/>
        <v>Medium risk</v>
      </c>
      <c r="U230" t="str">
        <f t="shared" si="7"/>
        <v>average</v>
      </c>
    </row>
    <row r="231" spans="1:21">
      <c r="A231" t="s">
        <v>267</v>
      </c>
      <c r="B231">
        <v>49</v>
      </c>
      <c r="C231">
        <v>191615</v>
      </c>
      <c r="D231">
        <v>659</v>
      </c>
      <c r="E231">
        <v>0.54682750942265901</v>
      </c>
      <c r="F231">
        <v>0</v>
      </c>
      <c r="G231">
        <v>1</v>
      </c>
      <c r="H231">
        <v>73327</v>
      </c>
      <c r="I231">
        <v>0.40907493519904198</v>
      </c>
      <c r="J231" t="s">
        <v>43</v>
      </c>
      <c r="K231">
        <v>6</v>
      </c>
      <c r="L231" t="s">
        <v>21</v>
      </c>
      <c r="M231" t="s">
        <v>38</v>
      </c>
      <c r="N231" t="s">
        <v>24</v>
      </c>
      <c r="O231" t="s">
        <v>24</v>
      </c>
      <c r="P231" t="s">
        <v>29</v>
      </c>
      <c r="Q231" t="s">
        <v>23</v>
      </c>
      <c r="R231" t="s">
        <v>24</v>
      </c>
      <c r="S231" t="s">
        <v>29</v>
      </c>
      <c r="T231" t="str">
        <f t="shared" si="6"/>
        <v>High risk</v>
      </c>
      <c r="U231" t="str">
        <f t="shared" si="7"/>
        <v>poor</v>
      </c>
    </row>
    <row r="232" spans="1:21">
      <c r="A232" t="s">
        <v>268</v>
      </c>
      <c r="B232">
        <v>41</v>
      </c>
      <c r="C232">
        <v>165580</v>
      </c>
      <c r="D232">
        <v>629</v>
      </c>
      <c r="E232">
        <v>0.470600243560585</v>
      </c>
      <c r="F232">
        <v>1</v>
      </c>
      <c r="G232">
        <v>0</v>
      </c>
      <c r="H232">
        <v>96167</v>
      </c>
      <c r="I232">
        <v>0.227958514319616</v>
      </c>
      <c r="J232" t="s">
        <v>26</v>
      </c>
      <c r="K232">
        <v>4</v>
      </c>
      <c r="L232" t="s">
        <v>37</v>
      </c>
      <c r="M232" t="s">
        <v>28</v>
      </c>
      <c r="N232" t="s">
        <v>23</v>
      </c>
      <c r="O232" t="s">
        <v>29</v>
      </c>
      <c r="P232" t="s">
        <v>24</v>
      </c>
      <c r="Q232" t="s">
        <v>23</v>
      </c>
      <c r="R232" t="s">
        <v>23</v>
      </c>
      <c r="S232" t="s">
        <v>29</v>
      </c>
      <c r="T232" t="str">
        <f t="shared" si="6"/>
        <v>low risk</v>
      </c>
      <c r="U232" t="str">
        <f t="shared" si="7"/>
        <v>average</v>
      </c>
    </row>
    <row r="233" spans="1:21">
      <c r="A233" t="s">
        <v>269</v>
      </c>
      <c r="B233">
        <v>58</v>
      </c>
      <c r="C233">
        <v>70284</v>
      </c>
      <c r="D233">
        <v>696</v>
      </c>
      <c r="E233">
        <v>0.427106547495954</v>
      </c>
      <c r="F233">
        <v>1</v>
      </c>
      <c r="G233">
        <v>1</v>
      </c>
      <c r="H233">
        <v>2882</v>
      </c>
      <c r="I233">
        <v>0.22377174920026799</v>
      </c>
      <c r="J233" t="s">
        <v>40</v>
      </c>
      <c r="K233">
        <v>4</v>
      </c>
      <c r="L233" t="s">
        <v>45</v>
      </c>
      <c r="M233" t="s">
        <v>32</v>
      </c>
      <c r="N233" t="s">
        <v>29</v>
      </c>
      <c r="O233" t="s">
        <v>29</v>
      </c>
      <c r="P233" t="s">
        <v>23</v>
      </c>
      <c r="Q233" t="s">
        <v>23</v>
      </c>
      <c r="R233" t="s">
        <v>29</v>
      </c>
      <c r="S233" t="s">
        <v>23</v>
      </c>
      <c r="T233" t="str">
        <f t="shared" si="6"/>
        <v>High risk</v>
      </c>
      <c r="U233" t="str">
        <f t="shared" si="7"/>
        <v>good</v>
      </c>
    </row>
    <row r="234" spans="1:21">
      <c r="A234" t="s">
        <v>270</v>
      </c>
      <c r="B234">
        <v>69</v>
      </c>
      <c r="C234">
        <v>127816</v>
      </c>
      <c r="D234">
        <v>781</v>
      </c>
      <c r="E234">
        <v>0.33430744620645397</v>
      </c>
      <c r="F234">
        <v>2</v>
      </c>
      <c r="G234">
        <v>0</v>
      </c>
      <c r="H234">
        <v>32588</v>
      </c>
      <c r="I234">
        <v>0.45502496727721597</v>
      </c>
      <c r="J234" t="s">
        <v>50</v>
      </c>
      <c r="K234">
        <v>19</v>
      </c>
      <c r="L234" t="s">
        <v>27</v>
      </c>
      <c r="M234" t="s">
        <v>28</v>
      </c>
      <c r="N234" t="s">
        <v>23</v>
      </c>
      <c r="O234" t="s">
        <v>29</v>
      </c>
      <c r="P234" t="s">
        <v>23</v>
      </c>
      <c r="Q234" t="s">
        <v>23</v>
      </c>
      <c r="R234" t="s">
        <v>24</v>
      </c>
      <c r="S234" t="s">
        <v>24</v>
      </c>
      <c r="T234" t="str">
        <f t="shared" si="6"/>
        <v>Medium risk</v>
      </c>
      <c r="U234" t="str">
        <f t="shared" si="7"/>
        <v>average</v>
      </c>
    </row>
    <row r="235" spans="1:21">
      <c r="A235" t="s">
        <v>271</v>
      </c>
      <c r="B235">
        <v>66</v>
      </c>
      <c r="C235">
        <v>85390</v>
      </c>
      <c r="D235">
        <v>617</v>
      </c>
      <c r="E235">
        <v>0.68186800362107503</v>
      </c>
      <c r="F235">
        <v>2</v>
      </c>
      <c r="G235">
        <v>0</v>
      </c>
      <c r="H235">
        <v>11061</v>
      </c>
      <c r="I235">
        <v>0.30697023147318198</v>
      </c>
      <c r="J235" t="s">
        <v>26</v>
      </c>
      <c r="K235">
        <v>15</v>
      </c>
      <c r="L235" t="s">
        <v>37</v>
      </c>
      <c r="M235" t="s">
        <v>32</v>
      </c>
      <c r="N235" t="s">
        <v>23</v>
      </c>
      <c r="O235" t="s">
        <v>29</v>
      </c>
      <c r="P235" t="s">
        <v>29</v>
      </c>
      <c r="Q235" t="s">
        <v>24</v>
      </c>
      <c r="R235" t="s">
        <v>24</v>
      </c>
      <c r="S235" t="s">
        <v>24</v>
      </c>
      <c r="T235" t="str">
        <f t="shared" si="6"/>
        <v>Medium risk</v>
      </c>
      <c r="U235" t="str">
        <f t="shared" si="7"/>
        <v>poor</v>
      </c>
    </row>
    <row r="236" spans="1:21">
      <c r="A236" t="s">
        <v>272</v>
      </c>
      <c r="B236">
        <v>66</v>
      </c>
      <c r="C236">
        <v>74101</v>
      </c>
      <c r="D236">
        <v>561</v>
      </c>
      <c r="E236">
        <v>0.84597823090396695</v>
      </c>
      <c r="F236">
        <v>4</v>
      </c>
      <c r="G236">
        <v>0</v>
      </c>
      <c r="H236">
        <v>42715</v>
      </c>
      <c r="I236">
        <v>0.30762382276815697</v>
      </c>
      <c r="J236" t="s">
        <v>20</v>
      </c>
      <c r="K236">
        <v>18</v>
      </c>
      <c r="L236" t="s">
        <v>27</v>
      </c>
      <c r="M236" t="s">
        <v>22</v>
      </c>
      <c r="N236" t="s">
        <v>24</v>
      </c>
      <c r="O236" t="s">
        <v>23</v>
      </c>
      <c r="P236" t="s">
        <v>24</v>
      </c>
      <c r="Q236" t="s">
        <v>24</v>
      </c>
      <c r="R236" t="s">
        <v>24</v>
      </c>
      <c r="S236" t="s">
        <v>24</v>
      </c>
      <c r="T236" t="str">
        <f t="shared" si="6"/>
        <v>Medium risk</v>
      </c>
      <c r="U236" t="str">
        <f t="shared" si="7"/>
        <v>poor</v>
      </c>
    </row>
    <row r="237" spans="1:21">
      <c r="A237" t="s">
        <v>273</v>
      </c>
      <c r="B237">
        <v>69</v>
      </c>
      <c r="C237">
        <v>127816</v>
      </c>
      <c r="D237">
        <v>345</v>
      </c>
      <c r="E237">
        <v>0.56003843252003804</v>
      </c>
      <c r="F237">
        <v>1</v>
      </c>
      <c r="G237">
        <v>0</v>
      </c>
      <c r="H237">
        <v>2926</v>
      </c>
      <c r="I237">
        <v>0.28202005548484599</v>
      </c>
      <c r="J237" t="s">
        <v>50</v>
      </c>
      <c r="K237">
        <v>8</v>
      </c>
      <c r="L237" t="s">
        <v>45</v>
      </c>
      <c r="M237" t="s">
        <v>53</v>
      </c>
      <c r="N237" t="s">
        <v>23</v>
      </c>
      <c r="O237" t="s">
        <v>23</v>
      </c>
      <c r="P237" t="s">
        <v>29</v>
      </c>
      <c r="Q237" t="s">
        <v>24</v>
      </c>
      <c r="R237" t="s">
        <v>23</v>
      </c>
      <c r="S237" t="s">
        <v>24</v>
      </c>
      <c r="T237" t="str">
        <f t="shared" si="6"/>
        <v>low risk</v>
      </c>
      <c r="U237" t="str">
        <f t="shared" si="7"/>
        <v>average</v>
      </c>
    </row>
    <row r="238" spans="1:21">
      <c r="A238" t="s">
        <v>274</v>
      </c>
      <c r="B238">
        <v>29</v>
      </c>
      <c r="C238">
        <v>178273</v>
      </c>
      <c r="D238">
        <v>363</v>
      </c>
      <c r="E238">
        <v>0.56449814313456304</v>
      </c>
      <c r="F238">
        <v>5</v>
      </c>
      <c r="G238">
        <v>0</v>
      </c>
      <c r="H238">
        <v>98999</v>
      </c>
      <c r="I238">
        <v>0.17760179332568299</v>
      </c>
      <c r="J238" t="s">
        <v>26</v>
      </c>
      <c r="K238">
        <v>4</v>
      </c>
      <c r="L238" t="s">
        <v>37</v>
      </c>
      <c r="M238" t="s">
        <v>38</v>
      </c>
      <c r="N238" t="s">
        <v>29</v>
      </c>
      <c r="O238" t="s">
        <v>24</v>
      </c>
      <c r="P238" t="s">
        <v>24</v>
      </c>
      <c r="Q238" t="s">
        <v>29</v>
      </c>
      <c r="R238" t="s">
        <v>24</v>
      </c>
      <c r="S238" t="s">
        <v>24</v>
      </c>
      <c r="T238" t="str">
        <f t="shared" si="6"/>
        <v>Medium risk</v>
      </c>
      <c r="U238" t="str">
        <f t="shared" si="7"/>
        <v>poor</v>
      </c>
    </row>
    <row r="239" spans="1:21">
      <c r="A239" t="s">
        <v>275</v>
      </c>
      <c r="B239">
        <v>56</v>
      </c>
      <c r="C239">
        <v>61540</v>
      </c>
      <c r="D239">
        <v>731</v>
      </c>
      <c r="E239">
        <v>0.36353387402850101</v>
      </c>
      <c r="F239">
        <v>1</v>
      </c>
      <c r="G239">
        <v>1</v>
      </c>
      <c r="H239">
        <v>75777</v>
      </c>
      <c r="I239">
        <v>0.36756969493943797</v>
      </c>
      <c r="J239" t="s">
        <v>43</v>
      </c>
      <c r="K239">
        <v>7</v>
      </c>
      <c r="L239" t="s">
        <v>45</v>
      </c>
      <c r="M239" t="s">
        <v>53</v>
      </c>
      <c r="N239" t="s">
        <v>29</v>
      </c>
      <c r="O239" t="s">
        <v>24</v>
      </c>
      <c r="P239" t="s">
        <v>29</v>
      </c>
      <c r="Q239" t="s">
        <v>24</v>
      </c>
      <c r="R239" t="s">
        <v>29</v>
      </c>
      <c r="S239" t="s">
        <v>29</v>
      </c>
      <c r="T239" t="str">
        <f t="shared" si="6"/>
        <v>High risk</v>
      </c>
      <c r="U239" t="str">
        <f t="shared" si="7"/>
        <v>average</v>
      </c>
    </row>
    <row r="240" spans="1:21">
      <c r="A240" t="s">
        <v>276</v>
      </c>
      <c r="B240">
        <v>19</v>
      </c>
      <c r="C240">
        <v>170576</v>
      </c>
      <c r="D240">
        <v>729</v>
      </c>
      <c r="E240">
        <v>0.26078055363512398</v>
      </c>
      <c r="F240">
        <v>2</v>
      </c>
      <c r="G240">
        <v>0</v>
      </c>
      <c r="H240">
        <v>29561</v>
      </c>
      <c r="I240">
        <v>0.34094505219256199</v>
      </c>
      <c r="J240" t="s">
        <v>43</v>
      </c>
      <c r="K240">
        <v>8</v>
      </c>
      <c r="L240" t="s">
        <v>31</v>
      </c>
      <c r="M240" t="s">
        <v>38</v>
      </c>
      <c r="N240" t="s">
        <v>29</v>
      </c>
      <c r="O240" t="s">
        <v>23</v>
      </c>
      <c r="P240" t="s">
        <v>29</v>
      </c>
      <c r="Q240" t="s">
        <v>24</v>
      </c>
      <c r="R240" t="s">
        <v>24</v>
      </c>
      <c r="S240" t="s">
        <v>23</v>
      </c>
      <c r="T240" t="str">
        <f t="shared" si="6"/>
        <v>Medium risk</v>
      </c>
      <c r="U240" t="str">
        <f t="shared" si="7"/>
        <v>average</v>
      </c>
    </row>
    <row r="241" spans="1:21">
      <c r="A241" t="s">
        <v>277</v>
      </c>
      <c r="B241">
        <v>20</v>
      </c>
      <c r="C241">
        <v>191615</v>
      </c>
      <c r="D241">
        <v>332</v>
      </c>
      <c r="E241">
        <v>0.492052219038765</v>
      </c>
      <c r="F241">
        <v>5</v>
      </c>
      <c r="G241">
        <v>0</v>
      </c>
      <c r="H241">
        <v>44439</v>
      </c>
      <c r="I241">
        <v>0.316869132533943</v>
      </c>
      <c r="J241" t="s">
        <v>40</v>
      </c>
      <c r="K241">
        <v>4</v>
      </c>
      <c r="L241" t="s">
        <v>45</v>
      </c>
      <c r="M241" t="s">
        <v>28</v>
      </c>
      <c r="N241" t="s">
        <v>29</v>
      </c>
      <c r="O241" t="s">
        <v>29</v>
      </c>
      <c r="P241" t="s">
        <v>24</v>
      </c>
      <c r="Q241" t="s">
        <v>29</v>
      </c>
      <c r="R241" t="s">
        <v>23</v>
      </c>
      <c r="S241" t="s">
        <v>29</v>
      </c>
      <c r="T241" t="str">
        <f t="shared" si="6"/>
        <v>Medium risk</v>
      </c>
      <c r="U241" t="str">
        <f t="shared" si="7"/>
        <v>average</v>
      </c>
    </row>
    <row r="242" spans="1:21">
      <c r="A242" t="s">
        <v>278</v>
      </c>
      <c r="B242">
        <v>66</v>
      </c>
      <c r="C242">
        <v>138961</v>
      </c>
      <c r="D242">
        <v>563</v>
      </c>
      <c r="E242">
        <v>0.30525007040838398</v>
      </c>
      <c r="F242">
        <v>0</v>
      </c>
      <c r="G242">
        <v>0</v>
      </c>
      <c r="H242">
        <v>33772</v>
      </c>
      <c r="I242">
        <v>0.288367696072374</v>
      </c>
      <c r="J242" t="s">
        <v>34</v>
      </c>
      <c r="K242">
        <v>9</v>
      </c>
      <c r="L242" t="s">
        <v>31</v>
      </c>
      <c r="M242" t="s">
        <v>28</v>
      </c>
      <c r="N242" t="s">
        <v>29</v>
      </c>
      <c r="O242" t="s">
        <v>23</v>
      </c>
      <c r="P242" t="s">
        <v>24</v>
      </c>
      <c r="Q242" t="s">
        <v>23</v>
      </c>
      <c r="R242" t="s">
        <v>24</v>
      </c>
      <c r="S242" t="s">
        <v>24</v>
      </c>
      <c r="T242" t="str">
        <f t="shared" si="6"/>
        <v>low risk</v>
      </c>
      <c r="U242" t="str">
        <f t="shared" si="7"/>
        <v>poor</v>
      </c>
    </row>
    <row r="243" spans="1:21">
      <c r="A243" t="s">
        <v>279</v>
      </c>
      <c r="B243">
        <v>54</v>
      </c>
      <c r="C243">
        <v>114657</v>
      </c>
      <c r="D243">
        <v>522</v>
      </c>
      <c r="E243">
        <v>0.14547797433683499</v>
      </c>
      <c r="F243">
        <v>0</v>
      </c>
      <c r="G243">
        <v>0</v>
      </c>
      <c r="H243">
        <v>31481</v>
      </c>
      <c r="I243">
        <v>0.27076803506617098</v>
      </c>
      <c r="J243" t="s">
        <v>50</v>
      </c>
      <c r="K243">
        <v>1</v>
      </c>
      <c r="L243" t="s">
        <v>37</v>
      </c>
      <c r="M243" t="s">
        <v>38</v>
      </c>
      <c r="N243" t="s">
        <v>23</v>
      </c>
      <c r="O243" t="s">
        <v>24</v>
      </c>
      <c r="P243" t="s">
        <v>23</v>
      </c>
      <c r="Q243" t="s">
        <v>29</v>
      </c>
      <c r="R243" t="s">
        <v>24</v>
      </c>
      <c r="S243" t="s">
        <v>23</v>
      </c>
      <c r="T243" t="str">
        <f t="shared" si="6"/>
        <v>low risk</v>
      </c>
      <c r="U243" t="str">
        <f t="shared" si="7"/>
        <v>average</v>
      </c>
    </row>
    <row r="244" spans="1:21">
      <c r="A244" t="s">
        <v>280</v>
      </c>
      <c r="B244">
        <v>66</v>
      </c>
      <c r="C244">
        <v>76813</v>
      </c>
      <c r="D244">
        <v>749</v>
      </c>
      <c r="E244">
        <v>0.66068916247311604</v>
      </c>
      <c r="F244">
        <v>6</v>
      </c>
      <c r="G244">
        <v>0</v>
      </c>
      <c r="H244">
        <v>29584</v>
      </c>
      <c r="I244">
        <v>0.39124833895474098</v>
      </c>
      <c r="J244" t="s">
        <v>20</v>
      </c>
      <c r="K244">
        <v>8</v>
      </c>
      <c r="L244" t="s">
        <v>31</v>
      </c>
      <c r="M244" t="s">
        <v>53</v>
      </c>
      <c r="N244" t="s">
        <v>29</v>
      </c>
      <c r="O244" t="s">
        <v>29</v>
      </c>
      <c r="P244" t="s">
        <v>23</v>
      </c>
      <c r="Q244" t="s">
        <v>23</v>
      </c>
      <c r="R244" t="s">
        <v>29</v>
      </c>
      <c r="S244" t="s">
        <v>23</v>
      </c>
      <c r="T244" t="str">
        <f t="shared" si="6"/>
        <v>Medium risk</v>
      </c>
      <c r="U244" t="str">
        <f t="shared" si="7"/>
        <v>good</v>
      </c>
    </row>
    <row r="245" spans="1:21">
      <c r="A245" t="s">
        <v>281</v>
      </c>
      <c r="B245">
        <v>73</v>
      </c>
      <c r="C245">
        <v>48307</v>
      </c>
      <c r="D245">
        <v>319</v>
      </c>
      <c r="E245">
        <v>0.67043335765036605</v>
      </c>
      <c r="F245">
        <v>3</v>
      </c>
      <c r="G245">
        <v>0</v>
      </c>
      <c r="I245">
        <v>0.28587069367939</v>
      </c>
      <c r="J245" t="s">
        <v>20</v>
      </c>
      <c r="K245">
        <v>10</v>
      </c>
      <c r="L245" t="s">
        <v>37</v>
      </c>
      <c r="M245" t="s">
        <v>38</v>
      </c>
      <c r="N245" t="s">
        <v>23</v>
      </c>
      <c r="O245" t="s">
        <v>29</v>
      </c>
      <c r="P245" t="s">
        <v>23</v>
      </c>
      <c r="Q245" t="s">
        <v>23</v>
      </c>
      <c r="R245" t="s">
        <v>24</v>
      </c>
      <c r="S245" t="s">
        <v>23</v>
      </c>
      <c r="T245" t="str">
        <f t="shared" si="6"/>
        <v>Medium risk</v>
      </c>
      <c r="U245" t="str">
        <f t="shared" si="7"/>
        <v>average</v>
      </c>
    </row>
    <row r="246" spans="1:21">
      <c r="A246" t="s">
        <v>282</v>
      </c>
      <c r="B246">
        <v>34</v>
      </c>
      <c r="C246">
        <v>193677</v>
      </c>
      <c r="D246">
        <v>380</v>
      </c>
      <c r="E246">
        <v>0.32823224540938101</v>
      </c>
      <c r="F246">
        <v>2</v>
      </c>
      <c r="G246">
        <v>0</v>
      </c>
      <c r="H246">
        <v>83604</v>
      </c>
      <c r="I246">
        <v>0.29359389614661102</v>
      </c>
      <c r="J246" t="s">
        <v>34</v>
      </c>
      <c r="K246">
        <v>3</v>
      </c>
      <c r="L246" t="s">
        <v>37</v>
      </c>
      <c r="M246" t="s">
        <v>22</v>
      </c>
      <c r="N246" t="s">
        <v>23</v>
      </c>
      <c r="O246" t="s">
        <v>29</v>
      </c>
      <c r="P246" t="s">
        <v>24</v>
      </c>
      <c r="Q246" t="s">
        <v>29</v>
      </c>
      <c r="R246" t="s">
        <v>24</v>
      </c>
      <c r="S246" t="s">
        <v>24</v>
      </c>
      <c r="T246" t="str">
        <f t="shared" si="6"/>
        <v>Medium risk</v>
      </c>
      <c r="U246" t="str">
        <f t="shared" si="7"/>
        <v>poor</v>
      </c>
    </row>
    <row r="247" spans="1:21">
      <c r="A247" t="s">
        <v>283</v>
      </c>
      <c r="B247">
        <v>66</v>
      </c>
      <c r="C247">
        <v>186334</v>
      </c>
      <c r="D247">
        <v>521</v>
      </c>
      <c r="E247">
        <v>0.54879286425584795</v>
      </c>
      <c r="F247">
        <v>3</v>
      </c>
      <c r="G247">
        <v>0</v>
      </c>
      <c r="H247">
        <v>20052</v>
      </c>
      <c r="I247">
        <v>0.35298931548837698</v>
      </c>
      <c r="J247" t="s">
        <v>43</v>
      </c>
      <c r="K247">
        <v>1</v>
      </c>
      <c r="L247" t="s">
        <v>21</v>
      </c>
      <c r="M247" t="s">
        <v>28</v>
      </c>
      <c r="N247" t="s">
        <v>24</v>
      </c>
      <c r="O247" t="s">
        <v>23</v>
      </c>
      <c r="P247" t="s">
        <v>24</v>
      </c>
      <c r="Q247" t="s">
        <v>24</v>
      </c>
      <c r="R247" t="s">
        <v>29</v>
      </c>
      <c r="S247" t="s">
        <v>23</v>
      </c>
      <c r="T247" t="str">
        <f t="shared" si="6"/>
        <v>Medium risk</v>
      </c>
      <c r="U247" t="str">
        <f t="shared" si="7"/>
        <v>poor</v>
      </c>
    </row>
    <row r="248" spans="1:21">
      <c r="A248" t="s">
        <v>284</v>
      </c>
      <c r="B248">
        <v>19</v>
      </c>
      <c r="C248">
        <v>74163</v>
      </c>
      <c r="D248">
        <v>623</v>
      </c>
      <c r="E248">
        <v>0.70039045355835305</v>
      </c>
      <c r="F248">
        <v>5</v>
      </c>
      <c r="G248">
        <v>0</v>
      </c>
      <c r="H248">
        <v>15424</v>
      </c>
      <c r="I248">
        <v>0.32079609306803802</v>
      </c>
      <c r="J248" t="s">
        <v>43</v>
      </c>
      <c r="K248">
        <v>5</v>
      </c>
      <c r="L248" t="s">
        <v>37</v>
      </c>
      <c r="M248" t="s">
        <v>22</v>
      </c>
      <c r="N248" t="s">
        <v>24</v>
      </c>
      <c r="O248" t="s">
        <v>23</v>
      </c>
      <c r="P248" t="s">
        <v>24</v>
      </c>
      <c r="Q248" t="s">
        <v>23</v>
      </c>
      <c r="R248" t="s">
        <v>23</v>
      </c>
      <c r="S248" t="s">
        <v>29</v>
      </c>
      <c r="T248" t="str">
        <f t="shared" si="6"/>
        <v>Medium risk</v>
      </c>
      <c r="U248" t="str">
        <f t="shared" si="7"/>
        <v>average</v>
      </c>
    </row>
    <row r="249" spans="1:21">
      <c r="A249" t="s">
        <v>285</v>
      </c>
      <c r="B249">
        <v>19</v>
      </c>
      <c r="C249">
        <v>102235</v>
      </c>
      <c r="D249">
        <v>412</v>
      </c>
      <c r="E249">
        <v>0.541005337412375</v>
      </c>
      <c r="F249">
        <v>2</v>
      </c>
      <c r="G249">
        <v>1</v>
      </c>
      <c r="H249">
        <v>26649</v>
      </c>
      <c r="I249">
        <v>0.46422760575404298</v>
      </c>
      <c r="J249" t="s">
        <v>26</v>
      </c>
      <c r="K249">
        <v>13</v>
      </c>
      <c r="L249" t="s">
        <v>31</v>
      </c>
      <c r="M249" t="s">
        <v>28</v>
      </c>
      <c r="N249" t="s">
        <v>29</v>
      </c>
      <c r="O249" t="s">
        <v>23</v>
      </c>
      <c r="P249" t="s">
        <v>29</v>
      </c>
      <c r="Q249" t="s">
        <v>29</v>
      </c>
      <c r="R249" t="s">
        <v>29</v>
      </c>
      <c r="S249" t="s">
        <v>23</v>
      </c>
      <c r="T249" t="str">
        <f t="shared" si="6"/>
        <v>High risk</v>
      </c>
      <c r="U249" t="str">
        <f t="shared" si="7"/>
        <v>good</v>
      </c>
    </row>
    <row r="250" spans="1:21">
      <c r="A250" t="s">
        <v>286</v>
      </c>
      <c r="B250">
        <v>45</v>
      </c>
      <c r="C250">
        <v>27763</v>
      </c>
      <c r="D250">
        <v>655</v>
      </c>
      <c r="E250">
        <v>0.26136907078025301</v>
      </c>
      <c r="F250">
        <v>4</v>
      </c>
      <c r="G250">
        <v>0</v>
      </c>
      <c r="H250">
        <v>52425</v>
      </c>
      <c r="I250">
        <v>0.12386332225266899</v>
      </c>
      <c r="J250" t="s">
        <v>40</v>
      </c>
      <c r="K250">
        <v>0</v>
      </c>
      <c r="L250" t="s">
        <v>21</v>
      </c>
      <c r="M250" t="s">
        <v>28</v>
      </c>
      <c r="N250" t="s">
        <v>29</v>
      </c>
      <c r="O250" t="s">
        <v>29</v>
      </c>
      <c r="P250" t="s">
        <v>23</v>
      </c>
      <c r="Q250" t="s">
        <v>23</v>
      </c>
      <c r="R250" t="s">
        <v>24</v>
      </c>
      <c r="S250" t="s">
        <v>23</v>
      </c>
      <c r="T250" t="str">
        <f t="shared" si="6"/>
        <v>Medium risk</v>
      </c>
      <c r="U250" t="str">
        <f t="shared" si="7"/>
        <v>average</v>
      </c>
    </row>
    <row r="251" spans="1:21">
      <c r="A251" t="s">
        <v>287</v>
      </c>
      <c r="B251">
        <v>71</v>
      </c>
      <c r="C251">
        <v>39285</v>
      </c>
      <c r="D251">
        <v>818</v>
      </c>
      <c r="E251">
        <v>0.45342131735258001</v>
      </c>
      <c r="F251">
        <v>1</v>
      </c>
      <c r="G251">
        <v>0</v>
      </c>
      <c r="H251">
        <v>99620</v>
      </c>
      <c r="I251">
        <v>0.329990743836726</v>
      </c>
      <c r="J251" t="s">
        <v>50</v>
      </c>
      <c r="K251">
        <v>17</v>
      </c>
      <c r="L251" t="s">
        <v>21</v>
      </c>
      <c r="M251" t="s">
        <v>32</v>
      </c>
      <c r="N251" t="s">
        <v>24</v>
      </c>
      <c r="O251" t="s">
        <v>29</v>
      </c>
      <c r="P251" t="s">
        <v>24</v>
      </c>
      <c r="Q251" t="s">
        <v>24</v>
      </c>
      <c r="R251" t="s">
        <v>29</v>
      </c>
      <c r="S251" t="s">
        <v>29</v>
      </c>
      <c r="T251" t="str">
        <f t="shared" si="6"/>
        <v>low risk</v>
      </c>
      <c r="U251" t="str">
        <f t="shared" si="7"/>
        <v>poor</v>
      </c>
    </row>
    <row r="252" spans="1:21">
      <c r="A252" t="s">
        <v>288</v>
      </c>
      <c r="B252">
        <v>40</v>
      </c>
      <c r="C252">
        <v>66991</v>
      </c>
      <c r="D252">
        <v>337</v>
      </c>
      <c r="E252">
        <v>0.765361884008398</v>
      </c>
      <c r="F252">
        <v>4</v>
      </c>
      <c r="G252">
        <v>0</v>
      </c>
      <c r="H252">
        <v>23431</v>
      </c>
      <c r="I252">
        <v>0.229439421952783</v>
      </c>
      <c r="J252" t="s">
        <v>40</v>
      </c>
      <c r="K252">
        <v>6</v>
      </c>
      <c r="L252" t="s">
        <v>37</v>
      </c>
      <c r="M252" t="s">
        <v>22</v>
      </c>
      <c r="N252" t="s">
        <v>24</v>
      </c>
      <c r="O252" t="s">
        <v>24</v>
      </c>
      <c r="P252" t="s">
        <v>29</v>
      </c>
      <c r="Q252" t="s">
        <v>23</v>
      </c>
      <c r="R252" t="s">
        <v>23</v>
      </c>
      <c r="S252" t="s">
        <v>24</v>
      </c>
      <c r="T252" t="str">
        <f t="shared" si="6"/>
        <v>Medium risk</v>
      </c>
      <c r="U252" t="str">
        <f t="shared" si="7"/>
        <v>poor</v>
      </c>
    </row>
    <row r="253" spans="1:21">
      <c r="A253" t="s">
        <v>289</v>
      </c>
      <c r="B253">
        <v>54</v>
      </c>
      <c r="C253">
        <v>185883</v>
      </c>
      <c r="D253">
        <v>663</v>
      </c>
      <c r="E253">
        <v>0.54940532872102199</v>
      </c>
      <c r="F253">
        <v>5</v>
      </c>
      <c r="G253">
        <v>1</v>
      </c>
      <c r="H253">
        <v>95074</v>
      </c>
      <c r="I253">
        <v>0.20579134652450701</v>
      </c>
      <c r="J253" t="s">
        <v>40</v>
      </c>
      <c r="K253">
        <v>0</v>
      </c>
      <c r="L253" t="s">
        <v>45</v>
      </c>
      <c r="M253" t="s">
        <v>22</v>
      </c>
      <c r="N253" t="s">
        <v>24</v>
      </c>
      <c r="O253" t="s">
        <v>29</v>
      </c>
      <c r="P253" t="s">
        <v>24</v>
      </c>
      <c r="Q253" t="s">
        <v>23</v>
      </c>
      <c r="R253" t="s">
        <v>29</v>
      </c>
      <c r="S253" t="s">
        <v>23</v>
      </c>
      <c r="T253" t="str">
        <f t="shared" si="6"/>
        <v>High risk</v>
      </c>
      <c r="U253" t="str">
        <f t="shared" si="7"/>
        <v>average</v>
      </c>
    </row>
    <row r="254" spans="1:21">
      <c r="A254" t="s">
        <v>290</v>
      </c>
      <c r="B254">
        <v>49</v>
      </c>
      <c r="C254">
        <v>119185</v>
      </c>
      <c r="D254">
        <v>635</v>
      </c>
      <c r="E254">
        <v>0.607826420636561</v>
      </c>
      <c r="F254">
        <v>2</v>
      </c>
      <c r="G254">
        <v>0</v>
      </c>
      <c r="H254">
        <v>31674</v>
      </c>
      <c r="I254">
        <v>0.25429357939556502</v>
      </c>
      <c r="J254" t="s">
        <v>26</v>
      </c>
      <c r="K254">
        <v>0</v>
      </c>
      <c r="L254" t="s">
        <v>45</v>
      </c>
      <c r="M254" t="s">
        <v>32</v>
      </c>
      <c r="N254" t="s">
        <v>24</v>
      </c>
      <c r="O254" t="s">
        <v>24</v>
      </c>
      <c r="P254" t="s">
        <v>23</v>
      </c>
      <c r="Q254" t="s">
        <v>24</v>
      </c>
      <c r="R254" t="s">
        <v>23</v>
      </c>
      <c r="S254" t="s">
        <v>29</v>
      </c>
      <c r="T254" t="str">
        <f t="shared" si="6"/>
        <v>Medium risk</v>
      </c>
      <c r="U254" t="str">
        <f t="shared" si="7"/>
        <v>poor</v>
      </c>
    </row>
    <row r="255" spans="1:21">
      <c r="A255" t="s">
        <v>291</v>
      </c>
      <c r="B255">
        <v>50</v>
      </c>
      <c r="C255">
        <v>98042</v>
      </c>
      <c r="D255">
        <v>847</v>
      </c>
      <c r="E255">
        <v>0.56832584387382201</v>
      </c>
      <c r="F255">
        <v>5</v>
      </c>
      <c r="G255">
        <v>1</v>
      </c>
      <c r="H255">
        <v>90739</v>
      </c>
      <c r="I255">
        <v>0.30546794084817602</v>
      </c>
      <c r="J255" t="s">
        <v>40</v>
      </c>
      <c r="K255">
        <v>0</v>
      </c>
      <c r="L255" t="s">
        <v>21</v>
      </c>
      <c r="M255" t="s">
        <v>53</v>
      </c>
      <c r="N255" t="s">
        <v>29</v>
      </c>
      <c r="O255" t="s">
        <v>24</v>
      </c>
      <c r="P255" t="s">
        <v>23</v>
      </c>
      <c r="Q255" t="s">
        <v>24</v>
      </c>
      <c r="R255" t="s">
        <v>24</v>
      </c>
      <c r="S255" t="s">
        <v>29</v>
      </c>
      <c r="T255" t="str">
        <f t="shared" si="6"/>
        <v>High risk</v>
      </c>
      <c r="U255" t="str">
        <f t="shared" si="7"/>
        <v>poor</v>
      </c>
    </row>
    <row r="256" spans="1:21">
      <c r="A256" t="s">
        <v>292</v>
      </c>
      <c r="B256">
        <v>18</v>
      </c>
      <c r="C256">
        <v>116042</v>
      </c>
      <c r="D256">
        <v>544</v>
      </c>
      <c r="E256">
        <v>0.328897728404349</v>
      </c>
      <c r="F256">
        <v>1</v>
      </c>
      <c r="G256">
        <v>0</v>
      </c>
      <c r="H256">
        <v>30509</v>
      </c>
      <c r="I256">
        <v>0.30990690759234002</v>
      </c>
      <c r="J256" t="s">
        <v>34</v>
      </c>
      <c r="K256">
        <v>3</v>
      </c>
      <c r="L256" t="s">
        <v>37</v>
      </c>
      <c r="M256" t="s">
        <v>22</v>
      </c>
      <c r="N256" t="s">
        <v>24</v>
      </c>
      <c r="O256" t="s">
        <v>23</v>
      </c>
      <c r="P256" t="s">
        <v>29</v>
      </c>
      <c r="Q256" t="s">
        <v>29</v>
      </c>
      <c r="R256" t="s">
        <v>24</v>
      </c>
      <c r="S256" t="s">
        <v>24</v>
      </c>
      <c r="T256" t="str">
        <f t="shared" si="6"/>
        <v>low risk</v>
      </c>
      <c r="U256" t="str">
        <f t="shared" si="7"/>
        <v>poor</v>
      </c>
    </row>
    <row r="257" spans="1:21">
      <c r="A257" t="s">
        <v>293</v>
      </c>
      <c r="B257">
        <v>36</v>
      </c>
      <c r="C257">
        <v>95219</v>
      </c>
      <c r="D257">
        <v>535</v>
      </c>
      <c r="E257">
        <v>0.37583095614347101</v>
      </c>
      <c r="F257">
        <v>0</v>
      </c>
      <c r="G257">
        <v>0</v>
      </c>
      <c r="H257">
        <v>41594</v>
      </c>
      <c r="I257">
        <v>0.14826937843214999</v>
      </c>
      <c r="J257" t="s">
        <v>26</v>
      </c>
      <c r="K257">
        <v>3</v>
      </c>
      <c r="L257" t="s">
        <v>45</v>
      </c>
      <c r="M257" t="s">
        <v>38</v>
      </c>
      <c r="N257" t="s">
        <v>29</v>
      </c>
      <c r="O257" t="s">
        <v>24</v>
      </c>
      <c r="P257" t="s">
        <v>24</v>
      </c>
      <c r="Q257" t="s">
        <v>29</v>
      </c>
      <c r="R257" t="s">
        <v>29</v>
      </c>
      <c r="S257" t="s">
        <v>23</v>
      </c>
      <c r="T257" t="str">
        <f t="shared" si="6"/>
        <v>low risk</v>
      </c>
      <c r="U257" t="str">
        <f t="shared" si="7"/>
        <v>average</v>
      </c>
    </row>
    <row r="258" spans="1:21">
      <c r="A258" t="s">
        <v>294</v>
      </c>
      <c r="B258">
        <v>19</v>
      </c>
      <c r="C258">
        <v>155734</v>
      </c>
      <c r="D258">
        <v>524</v>
      </c>
      <c r="E258">
        <v>0.56777303141034796</v>
      </c>
      <c r="F258">
        <v>0</v>
      </c>
      <c r="G258">
        <v>0</v>
      </c>
      <c r="H258">
        <v>3142</v>
      </c>
      <c r="I258">
        <v>0.24589161703221801</v>
      </c>
      <c r="J258" t="s">
        <v>34</v>
      </c>
      <c r="K258">
        <v>17</v>
      </c>
      <c r="L258" t="s">
        <v>37</v>
      </c>
      <c r="M258" t="s">
        <v>32</v>
      </c>
      <c r="N258" t="s">
        <v>29</v>
      </c>
      <c r="O258" t="s">
        <v>29</v>
      </c>
      <c r="P258" t="s">
        <v>29</v>
      </c>
      <c r="Q258" t="s">
        <v>29</v>
      </c>
      <c r="R258" t="s">
        <v>23</v>
      </c>
      <c r="S258" t="s">
        <v>24</v>
      </c>
      <c r="T258" t="str">
        <f t="shared" si="6"/>
        <v>low risk</v>
      </c>
      <c r="U258" t="str">
        <f t="shared" si="7"/>
        <v>average</v>
      </c>
    </row>
    <row r="259" spans="1:21">
      <c r="A259" t="s">
        <v>295</v>
      </c>
      <c r="B259">
        <v>70</v>
      </c>
      <c r="C259">
        <v>116042</v>
      </c>
      <c r="D259">
        <v>608</v>
      </c>
      <c r="E259">
        <v>0.66337435600408101</v>
      </c>
      <c r="F259">
        <v>5</v>
      </c>
      <c r="G259">
        <v>1</v>
      </c>
      <c r="H259">
        <v>63443</v>
      </c>
      <c r="I259">
        <v>0.32812215514764498</v>
      </c>
      <c r="J259" t="s">
        <v>26</v>
      </c>
      <c r="K259">
        <v>10</v>
      </c>
      <c r="L259" t="s">
        <v>37</v>
      </c>
      <c r="M259" t="s">
        <v>22</v>
      </c>
      <c r="N259" t="s">
        <v>23</v>
      </c>
      <c r="O259" t="s">
        <v>29</v>
      </c>
      <c r="P259" t="s">
        <v>24</v>
      </c>
      <c r="Q259" t="s">
        <v>23</v>
      </c>
      <c r="R259" t="s">
        <v>24</v>
      </c>
      <c r="S259" t="s">
        <v>29</v>
      </c>
      <c r="T259" t="str">
        <f t="shared" ref="T259:T322" si="8">IF(G259=1,"High risk", IF(F259&gt;= 2, "Medium risk", "low risk"))</f>
        <v>High risk</v>
      </c>
      <c r="U259" t="str">
        <f t="shared" ref="U259:U322" si="9">IF(COUNTIF(N259:S259,"Missed") &gt;= 3, "poor", IF(COUNTIF(N259:S259,"Missed") &gt;= 1, "average", "good"))</f>
        <v>average</v>
      </c>
    </row>
    <row r="260" spans="1:21">
      <c r="A260" t="s">
        <v>296</v>
      </c>
      <c r="B260">
        <v>61</v>
      </c>
      <c r="C260">
        <v>109456</v>
      </c>
      <c r="D260">
        <v>354</v>
      </c>
      <c r="E260">
        <v>0.71998099018357598</v>
      </c>
      <c r="F260">
        <v>3</v>
      </c>
      <c r="G260">
        <v>0</v>
      </c>
      <c r="H260">
        <v>8526</v>
      </c>
      <c r="I260">
        <v>0.21230695492163401</v>
      </c>
      <c r="J260" t="s">
        <v>40</v>
      </c>
      <c r="K260">
        <v>0</v>
      </c>
      <c r="L260" t="s">
        <v>21</v>
      </c>
      <c r="M260" t="s">
        <v>53</v>
      </c>
      <c r="N260" t="s">
        <v>23</v>
      </c>
      <c r="O260" t="s">
        <v>24</v>
      </c>
      <c r="P260" t="s">
        <v>29</v>
      </c>
      <c r="Q260" t="s">
        <v>24</v>
      </c>
      <c r="R260" t="s">
        <v>29</v>
      </c>
      <c r="S260" t="s">
        <v>24</v>
      </c>
      <c r="T260" t="str">
        <f t="shared" si="8"/>
        <v>Medium risk</v>
      </c>
      <c r="U260" t="str">
        <f t="shared" si="9"/>
        <v>poor</v>
      </c>
    </row>
    <row r="261" spans="1:21">
      <c r="A261" t="s">
        <v>297</v>
      </c>
      <c r="B261">
        <v>43</v>
      </c>
      <c r="C261">
        <v>70284</v>
      </c>
      <c r="D261">
        <v>405</v>
      </c>
      <c r="E261">
        <v>0.32837889104636098</v>
      </c>
      <c r="F261">
        <v>2</v>
      </c>
      <c r="G261">
        <v>0</v>
      </c>
      <c r="H261">
        <v>10778</v>
      </c>
      <c r="I261">
        <v>0.18852160952834801</v>
      </c>
      <c r="J261" t="s">
        <v>34</v>
      </c>
      <c r="K261">
        <v>9</v>
      </c>
      <c r="L261" t="s">
        <v>21</v>
      </c>
      <c r="M261" t="s">
        <v>22</v>
      </c>
      <c r="N261" t="s">
        <v>23</v>
      </c>
      <c r="O261" t="s">
        <v>24</v>
      </c>
      <c r="P261" t="s">
        <v>24</v>
      </c>
      <c r="Q261" t="s">
        <v>29</v>
      </c>
      <c r="R261" t="s">
        <v>24</v>
      </c>
      <c r="S261" t="s">
        <v>29</v>
      </c>
      <c r="T261" t="str">
        <f t="shared" si="8"/>
        <v>Medium risk</v>
      </c>
      <c r="U261" t="str">
        <f t="shared" si="9"/>
        <v>poor</v>
      </c>
    </row>
    <row r="262" spans="1:21">
      <c r="A262" t="s">
        <v>298</v>
      </c>
      <c r="B262">
        <v>49</v>
      </c>
      <c r="C262">
        <v>61540</v>
      </c>
      <c r="D262">
        <v>777</v>
      </c>
      <c r="E262">
        <v>0.58662410693543798</v>
      </c>
      <c r="F262">
        <v>2</v>
      </c>
      <c r="G262">
        <v>0</v>
      </c>
      <c r="H262">
        <v>15171</v>
      </c>
      <c r="I262">
        <v>0.1</v>
      </c>
      <c r="J262" t="s">
        <v>34</v>
      </c>
      <c r="K262">
        <v>8</v>
      </c>
      <c r="L262" t="s">
        <v>27</v>
      </c>
      <c r="M262" t="s">
        <v>28</v>
      </c>
      <c r="N262" t="s">
        <v>29</v>
      </c>
      <c r="O262" t="s">
        <v>24</v>
      </c>
      <c r="P262" t="s">
        <v>23</v>
      </c>
      <c r="Q262" t="s">
        <v>29</v>
      </c>
      <c r="R262" t="s">
        <v>29</v>
      </c>
      <c r="S262" t="s">
        <v>23</v>
      </c>
      <c r="T262" t="str">
        <f t="shared" si="8"/>
        <v>Medium risk</v>
      </c>
      <c r="U262" t="str">
        <f t="shared" si="9"/>
        <v>average</v>
      </c>
    </row>
    <row r="263" spans="1:21">
      <c r="A263" t="s">
        <v>299</v>
      </c>
      <c r="B263">
        <v>23</v>
      </c>
      <c r="C263">
        <v>93752</v>
      </c>
      <c r="D263">
        <v>350</v>
      </c>
      <c r="E263">
        <v>0.73740882234379501</v>
      </c>
      <c r="F263">
        <v>0</v>
      </c>
      <c r="G263">
        <v>0</v>
      </c>
      <c r="H263">
        <v>11942</v>
      </c>
      <c r="I263">
        <v>0.233680655162464</v>
      </c>
      <c r="J263" t="s">
        <v>34</v>
      </c>
      <c r="K263">
        <v>3</v>
      </c>
      <c r="L263" t="s">
        <v>45</v>
      </c>
      <c r="M263" t="s">
        <v>38</v>
      </c>
      <c r="N263" t="s">
        <v>29</v>
      </c>
      <c r="O263" t="s">
        <v>24</v>
      </c>
      <c r="P263" t="s">
        <v>29</v>
      </c>
      <c r="Q263" t="s">
        <v>23</v>
      </c>
      <c r="R263" t="s">
        <v>24</v>
      </c>
      <c r="S263" t="s">
        <v>23</v>
      </c>
      <c r="T263" t="str">
        <f t="shared" si="8"/>
        <v>low risk</v>
      </c>
      <c r="U263" t="str">
        <f t="shared" si="9"/>
        <v>average</v>
      </c>
    </row>
    <row r="264" spans="1:21">
      <c r="A264" t="s">
        <v>300</v>
      </c>
      <c r="B264">
        <v>49</v>
      </c>
      <c r="C264">
        <v>42350</v>
      </c>
      <c r="D264">
        <v>341</v>
      </c>
      <c r="E264">
        <v>0.30258364594239501</v>
      </c>
      <c r="F264">
        <v>6</v>
      </c>
      <c r="G264">
        <v>0</v>
      </c>
      <c r="H264">
        <v>83022</v>
      </c>
      <c r="I264">
        <v>0.18503708010491801</v>
      </c>
      <c r="J264" t="s">
        <v>26</v>
      </c>
      <c r="K264">
        <v>5</v>
      </c>
      <c r="L264" t="s">
        <v>45</v>
      </c>
      <c r="M264" t="s">
        <v>32</v>
      </c>
      <c r="N264" t="s">
        <v>23</v>
      </c>
      <c r="O264" t="s">
        <v>24</v>
      </c>
      <c r="P264" t="s">
        <v>24</v>
      </c>
      <c r="Q264" t="s">
        <v>23</v>
      </c>
      <c r="R264" t="s">
        <v>24</v>
      </c>
      <c r="S264" t="s">
        <v>24</v>
      </c>
      <c r="T264" t="str">
        <f t="shared" si="8"/>
        <v>Medium risk</v>
      </c>
      <c r="U264" t="str">
        <f t="shared" si="9"/>
        <v>poor</v>
      </c>
    </row>
    <row r="265" spans="1:21">
      <c r="A265" t="s">
        <v>301</v>
      </c>
      <c r="B265">
        <v>72</v>
      </c>
      <c r="C265">
        <v>97750</v>
      </c>
      <c r="D265">
        <v>414</v>
      </c>
      <c r="E265">
        <v>0.79734942715995405</v>
      </c>
      <c r="F265">
        <v>4</v>
      </c>
      <c r="G265">
        <v>0</v>
      </c>
      <c r="H265">
        <v>72332</v>
      </c>
      <c r="I265">
        <v>0.20160671168899399</v>
      </c>
      <c r="J265" t="s">
        <v>20</v>
      </c>
      <c r="K265">
        <v>15</v>
      </c>
      <c r="L265" t="s">
        <v>45</v>
      </c>
      <c r="M265" t="s">
        <v>28</v>
      </c>
      <c r="N265" t="s">
        <v>23</v>
      </c>
      <c r="O265" t="s">
        <v>24</v>
      </c>
      <c r="P265" t="s">
        <v>23</v>
      </c>
      <c r="Q265" t="s">
        <v>24</v>
      </c>
      <c r="R265" t="s">
        <v>29</v>
      </c>
      <c r="S265" t="s">
        <v>24</v>
      </c>
      <c r="T265" t="str">
        <f t="shared" si="8"/>
        <v>Medium risk</v>
      </c>
      <c r="U265" t="str">
        <f t="shared" si="9"/>
        <v>poor</v>
      </c>
    </row>
    <row r="266" spans="1:21">
      <c r="A266" t="s">
        <v>302</v>
      </c>
      <c r="B266">
        <v>21</v>
      </c>
      <c r="C266">
        <v>142016</v>
      </c>
      <c r="D266">
        <v>445</v>
      </c>
      <c r="E266">
        <v>0.82778816546883704</v>
      </c>
      <c r="F266">
        <v>6</v>
      </c>
      <c r="G266">
        <v>1</v>
      </c>
      <c r="H266">
        <v>65548</v>
      </c>
      <c r="I266">
        <v>0.27281796967203398</v>
      </c>
      <c r="J266" t="s">
        <v>40</v>
      </c>
      <c r="K266">
        <v>1</v>
      </c>
      <c r="L266" t="s">
        <v>31</v>
      </c>
      <c r="M266" t="s">
        <v>53</v>
      </c>
      <c r="N266" t="s">
        <v>23</v>
      </c>
      <c r="O266" t="s">
        <v>29</v>
      </c>
      <c r="P266" t="s">
        <v>24</v>
      </c>
      <c r="Q266" t="s">
        <v>23</v>
      </c>
      <c r="R266" t="s">
        <v>23</v>
      </c>
      <c r="S266" t="s">
        <v>29</v>
      </c>
      <c r="T266" t="str">
        <f t="shared" si="8"/>
        <v>High risk</v>
      </c>
      <c r="U266" t="str">
        <f t="shared" si="9"/>
        <v>average</v>
      </c>
    </row>
    <row r="267" spans="1:21">
      <c r="A267" t="s">
        <v>303</v>
      </c>
      <c r="B267">
        <v>72</v>
      </c>
      <c r="C267">
        <v>16062</v>
      </c>
      <c r="D267">
        <v>584</v>
      </c>
      <c r="E267">
        <v>1.0250172679243299</v>
      </c>
      <c r="F267">
        <v>1</v>
      </c>
      <c r="G267">
        <v>0</v>
      </c>
      <c r="H267">
        <v>92285</v>
      </c>
      <c r="I267">
        <v>0.24001711234570999</v>
      </c>
      <c r="J267" t="s">
        <v>34</v>
      </c>
      <c r="K267">
        <v>17</v>
      </c>
      <c r="L267" t="s">
        <v>37</v>
      </c>
      <c r="M267" t="s">
        <v>28</v>
      </c>
      <c r="N267" t="s">
        <v>24</v>
      </c>
      <c r="O267" t="s">
        <v>23</v>
      </c>
      <c r="P267" t="s">
        <v>24</v>
      </c>
      <c r="Q267" t="s">
        <v>24</v>
      </c>
      <c r="R267" t="s">
        <v>29</v>
      </c>
      <c r="S267" t="s">
        <v>23</v>
      </c>
      <c r="T267" t="str">
        <f t="shared" si="8"/>
        <v>low risk</v>
      </c>
      <c r="U267" t="str">
        <f t="shared" si="9"/>
        <v>poor</v>
      </c>
    </row>
    <row r="268" spans="1:21">
      <c r="A268" t="s">
        <v>304</v>
      </c>
      <c r="B268">
        <v>28</v>
      </c>
      <c r="C268">
        <v>75692</v>
      </c>
      <c r="D268">
        <v>534</v>
      </c>
      <c r="E268">
        <v>0.54618668816599802</v>
      </c>
      <c r="F268">
        <v>4</v>
      </c>
      <c r="G268">
        <v>0</v>
      </c>
      <c r="H268">
        <v>48397</v>
      </c>
      <c r="I268">
        <v>0.183376210614069</v>
      </c>
      <c r="J268" t="s">
        <v>50</v>
      </c>
      <c r="K268">
        <v>9</v>
      </c>
      <c r="L268" t="s">
        <v>21</v>
      </c>
      <c r="M268" t="s">
        <v>28</v>
      </c>
      <c r="N268" t="s">
        <v>24</v>
      </c>
      <c r="O268" t="s">
        <v>24</v>
      </c>
      <c r="P268" t="s">
        <v>23</v>
      </c>
      <c r="Q268" t="s">
        <v>23</v>
      </c>
      <c r="R268" t="s">
        <v>24</v>
      </c>
      <c r="S268" t="s">
        <v>23</v>
      </c>
      <c r="T268" t="str">
        <f t="shared" si="8"/>
        <v>Medium risk</v>
      </c>
      <c r="U268" t="str">
        <f t="shared" si="9"/>
        <v>poor</v>
      </c>
    </row>
    <row r="269" spans="1:21">
      <c r="A269" t="s">
        <v>305</v>
      </c>
      <c r="B269">
        <v>73</v>
      </c>
      <c r="C269">
        <v>158087</v>
      </c>
      <c r="D269">
        <v>669</v>
      </c>
      <c r="E269">
        <v>0.547284935252489</v>
      </c>
      <c r="F269">
        <v>4</v>
      </c>
      <c r="G269">
        <v>0</v>
      </c>
      <c r="H269">
        <v>68998</v>
      </c>
      <c r="I269">
        <v>0.1</v>
      </c>
      <c r="J269" t="s">
        <v>20</v>
      </c>
      <c r="K269">
        <v>16</v>
      </c>
      <c r="L269" t="s">
        <v>45</v>
      </c>
      <c r="M269" t="s">
        <v>53</v>
      </c>
      <c r="N269" t="s">
        <v>23</v>
      </c>
      <c r="O269" t="s">
        <v>23</v>
      </c>
      <c r="P269" t="s">
        <v>24</v>
      </c>
      <c r="Q269" t="s">
        <v>29</v>
      </c>
      <c r="R269" t="s">
        <v>24</v>
      </c>
      <c r="S269" t="s">
        <v>23</v>
      </c>
      <c r="T269" t="str">
        <f t="shared" si="8"/>
        <v>Medium risk</v>
      </c>
      <c r="U269" t="str">
        <f t="shared" si="9"/>
        <v>average</v>
      </c>
    </row>
    <row r="270" spans="1:21">
      <c r="A270" t="s">
        <v>306</v>
      </c>
      <c r="B270">
        <v>34</v>
      </c>
      <c r="C270">
        <v>53765</v>
      </c>
      <c r="D270">
        <v>736</v>
      </c>
      <c r="E270">
        <v>0.66539887782346296</v>
      </c>
      <c r="F270">
        <v>5</v>
      </c>
      <c r="G270">
        <v>0</v>
      </c>
      <c r="H270">
        <v>52413</v>
      </c>
      <c r="I270">
        <v>0.33023113051476399</v>
      </c>
      <c r="J270" t="s">
        <v>50</v>
      </c>
      <c r="K270">
        <v>12</v>
      </c>
      <c r="L270" t="s">
        <v>27</v>
      </c>
      <c r="M270" t="s">
        <v>28</v>
      </c>
      <c r="N270" t="s">
        <v>24</v>
      </c>
      <c r="O270" t="s">
        <v>24</v>
      </c>
      <c r="P270" t="s">
        <v>29</v>
      </c>
      <c r="Q270" t="s">
        <v>29</v>
      </c>
      <c r="R270" t="s">
        <v>24</v>
      </c>
      <c r="S270" t="s">
        <v>23</v>
      </c>
      <c r="T270" t="str">
        <f t="shared" si="8"/>
        <v>Medium risk</v>
      </c>
      <c r="U270" t="str">
        <f t="shared" si="9"/>
        <v>poor</v>
      </c>
    </row>
    <row r="271" spans="1:21">
      <c r="A271" t="s">
        <v>307</v>
      </c>
      <c r="B271">
        <v>55</v>
      </c>
      <c r="C271">
        <v>198062</v>
      </c>
      <c r="D271">
        <v>766</v>
      </c>
      <c r="E271">
        <v>0.65956053460988295</v>
      </c>
      <c r="F271">
        <v>0</v>
      </c>
      <c r="G271">
        <v>0</v>
      </c>
      <c r="H271">
        <v>50989</v>
      </c>
      <c r="I271">
        <v>0.37528272138084701</v>
      </c>
      <c r="J271" t="s">
        <v>40</v>
      </c>
      <c r="K271">
        <v>17</v>
      </c>
      <c r="L271" t="s">
        <v>45</v>
      </c>
      <c r="M271" t="s">
        <v>32</v>
      </c>
      <c r="N271" t="s">
        <v>24</v>
      </c>
      <c r="O271" t="s">
        <v>24</v>
      </c>
      <c r="P271" t="s">
        <v>29</v>
      </c>
      <c r="Q271" t="s">
        <v>24</v>
      </c>
      <c r="R271" t="s">
        <v>23</v>
      </c>
      <c r="S271" t="s">
        <v>23</v>
      </c>
      <c r="T271" t="str">
        <f t="shared" si="8"/>
        <v>low risk</v>
      </c>
      <c r="U271" t="str">
        <f t="shared" si="9"/>
        <v>poor</v>
      </c>
    </row>
    <row r="272" spans="1:21">
      <c r="A272" t="s">
        <v>308</v>
      </c>
      <c r="B272">
        <v>41</v>
      </c>
      <c r="C272">
        <v>38049</v>
      </c>
      <c r="D272">
        <v>648</v>
      </c>
      <c r="E272">
        <v>0.72527337219912102</v>
      </c>
      <c r="F272">
        <v>6</v>
      </c>
      <c r="G272">
        <v>0</v>
      </c>
      <c r="H272">
        <v>44016</v>
      </c>
      <c r="I272">
        <v>0.26032550210056199</v>
      </c>
      <c r="J272" t="s">
        <v>40</v>
      </c>
      <c r="K272">
        <v>12</v>
      </c>
      <c r="L272" t="s">
        <v>37</v>
      </c>
      <c r="M272" t="s">
        <v>22</v>
      </c>
      <c r="N272" t="s">
        <v>23</v>
      </c>
      <c r="O272" t="s">
        <v>24</v>
      </c>
      <c r="P272" t="s">
        <v>23</v>
      </c>
      <c r="Q272" t="s">
        <v>29</v>
      </c>
      <c r="R272" t="s">
        <v>24</v>
      </c>
      <c r="S272" t="s">
        <v>24</v>
      </c>
      <c r="T272" t="str">
        <f t="shared" si="8"/>
        <v>Medium risk</v>
      </c>
      <c r="U272" t="str">
        <f t="shared" si="9"/>
        <v>poor</v>
      </c>
    </row>
    <row r="273" spans="1:21">
      <c r="A273" t="s">
        <v>309</v>
      </c>
      <c r="B273">
        <v>22</v>
      </c>
      <c r="C273">
        <v>166222</v>
      </c>
      <c r="D273">
        <v>762</v>
      </c>
      <c r="E273">
        <v>0.65680663609302004</v>
      </c>
      <c r="F273">
        <v>6</v>
      </c>
      <c r="G273">
        <v>0</v>
      </c>
      <c r="H273">
        <v>29416</v>
      </c>
      <c r="I273">
        <v>0.27342243035457198</v>
      </c>
      <c r="J273" t="s">
        <v>34</v>
      </c>
      <c r="K273">
        <v>16</v>
      </c>
      <c r="L273" t="s">
        <v>37</v>
      </c>
      <c r="M273" t="s">
        <v>28</v>
      </c>
      <c r="N273" t="s">
        <v>23</v>
      </c>
      <c r="O273" t="s">
        <v>24</v>
      </c>
      <c r="P273" t="s">
        <v>24</v>
      </c>
      <c r="Q273" t="s">
        <v>23</v>
      </c>
      <c r="R273" t="s">
        <v>23</v>
      </c>
      <c r="S273" t="s">
        <v>23</v>
      </c>
      <c r="T273" t="str">
        <f t="shared" si="8"/>
        <v>Medium risk</v>
      </c>
      <c r="U273" t="str">
        <f t="shared" si="9"/>
        <v>average</v>
      </c>
    </row>
    <row r="274" spans="1:21">
      <c r="A274" t="s">
        <v>310</v>
      </c>
      <c r="B274">
        <v>69</v>
      </c>
      <c r="D274">
        <v>423</v>
      </c>
      <c r="E274">
        <v>0.47878761819239202</v>
      </c>
      <c r="F274">
        <v>0</v>
      </c>
      <c r="G274">
        <v>1</v>
      </c>
      <c r="I274">
        <v>0.30028105156861201</v>
      </c>
      <c r="J274" t="s">
        <v>34</v>
      </c>
      <c r="K274">
        <v>4</v>
      </c>
      <c r="L274" t="s">
        <v>21</v>
      </c>
      <c r="M274" t="s">
        <v>32</v>
      </c>
      <c r="N274" t="s">
        <v>24</v>
      </c>
      <c r="O274" t="s">
        <v>23</v>
      </c>
      <c r="P274" t="s">
        <v>24</v>
      </c>
      <c r="Q274" t="s">
        <v>23</v>
      </c>
      <c r="R274" t="s">
        <v>24</v>
      </c>
      <c r="S274" t="s">
        <v>24</v>
      </c>
      <c r="T274" t="str">
        <f t="shared" si="8"/>
        <v>High risk</v>
      </c>
      <c r="U274" t="str">
        <f t="shared" si="9"/>
        <v>poor</v>
      </c>
    </row>
    <row r="275" spans="1:21">
      <c r="A275" t="s">
        <v>311</v>
      </c>
      <c r="B275">
        <v>51</v>
      </c>
      <c r="C275">
        <v>193031</v>
      </c>
      <c r="D275">
        <v>670</v>
      </c>
      <c r="E275">
        <v>0.74439942419469995</v>
      </c>
      <c r="F275">
        <v>6</v>
      </c>
      <c r="G275">
        <v>1</v>
      </c>
      <c r="H275">
        <v>80150</v>
      </c>
      <c r="I275">
        <v>0.45787835766122498</v>
      </c>
      <c r="J275" t="s">
        <v>26</v>
      </c>
      <c r="K275">
        <v>10</v>
      </c>
      <c r="L275" t="s">
        <v>31</v>
      </c>
      <c r="M275" t="s">
        <v>22</v>
      </c>
      <c r="N275" t="s">
        <v>29</v>
      </c>
      <c r="O275" t="s">
        <v>29</v>
      </c>
      <c r="P275" t="s">
        <v>24</v>
      </c>
      <c r="Q275" t="s">
        <v>24</v>
      </c>
      <c r="R275" t="s">
        <v>23</v>
      </c>
      <c r="S275" t="s">
        <v>24</v>
      </c>
      <c r="T275" t="str">
        <f t="shared" si="8"/>
        <v>High risk</v>
      </c>
      <c r="U275" t="str">
        <f t="shared" si="9"/>
        <v>poor</v>
      </c>
    </row>
    <row r="276" spans="1:21">
      <c r="A276" t="s">
        <v>312</v>
      </c>
      <c r="B276">
        <v>23</v>
      </c>
      <c r="C276">
        <v>189358</v>
      </c>
      <c r="D276">
        <v>823</v>
      </c>
      <c r="E276">
        <v>0.28574917006145401</v>
      </c>
      <c r="F276">
        <v>0</v>
      </c>
      <c r="G276">
        <v>0</v>
      </c>
      <c r="H276">
        <v>2687</v>
      </c>
      <c r="I276">
        <v>0.14322922061742199</v>
      </c>
      <c r="J276" t="s">
        <v>20</v>
      </c>
      <c r="K276">
        <v>6</v>
      </c>
      <c r="L276" t="s">
        <v>21</v>
      </c>
      <c r="M276" t="s">
        <v>22</v>
      </c>
      <c r="N276" t="s">
        <v>23</v>
      </c>
      <c r="O276" t="s">
        <v>29</v>
      </c>
      <c r="P276" t="s">
        <v>29</v>
      </c>
      <c r="Q276" t="s">
        <v>23</v>
      </c>
      <c r="R276" t="s">
        <v>23</v>
      </c>
      <c r="S276" t="s">
        <v>23</v>
      </c>
      <c r="T276" t="str">
        <f t="shared" si="8"/>
        <v>low risk</v>
      </c>
      <c r="U276" t="str">
        <f t="shared" si="9"/>
        <v>good</v>
      </c>
    </row>
    <row r="277" spans="1:21">
      <c r="A277" t="s">
        <v>313</v>
      </c>
      <c r="B277">
        <v>39</v>
      </c>
      <c r="C277">
        <v>101188</v>
      </c>
      <c r="D277">
        <v>694</v>
      </c>
      <c r="E277">
        <v>0.50117046734507498</v>
      </c>
      <c r="F277">
        <v>5</v>
      </c>
      <c r="G277">
        <v>1</v>
      </c>
      <c r="H277">
        <v>23685</v>
      </c>
      <c r="I277">
        <v>0.258551027412743</v>
      </c>
      <c r="J277" t="s">
        <v>20</v>
      </c>
      <c r="K277">
        <v>9</v>
      </c>
      <c r="L277" t="s">
        <v>45</v>
      </c>
      <c r="M277" t="s">
        <v>28</v>
      </c>
      <c r="N277" t="s">
        <v>23</v>
      </c>
      <c r="O277" t="s">
        <v>23</v>
      </c>
      <c r="P277" t="s">
        <v>29</v>
      </c>
      <c r="Q277" t="s">
        <v>23</v>
      </c>
      <c r="R277" t="s">
        <v>29</v>
      </c>
      <c r="S277" t="s">
        <v>24</v>
      </c>
      <c r="T277" t="str">
        <f t="shared" si="8"/>
        <v>High risk</v>
      </c>
      <c r="U277" t="str">
        <f t="shared" si="9"/>
        <v>average</v>
      </c>
    </row>
    <row r="278" spans="1:21">
      <c r="A278" t="s">
        <v>314</v>
      </c>
      <c r="B278">
        <v>28</v>
      </c>
      <c r="D278">
        <v>421</v>
      </c>
      <c r="E278">
        <v>0.81274712320995901</v>
      </c>
      <c r="F278">
        <v>3</v>
      </c>
      <c r="G278">
        <v>0</v>
      </c>
      <c r="H278">
        <v>77719</v>
      </c>
      <c r="I278">
        <v>0.12780270358672799</v>
      </c>
      <c r="J278" t="s">
        <v>34</v>
      </c>
      <c r="K278">
        <v>16</v>
      </c>
      <c r="L278" t="s">
        <v>27</v>
      </c>
      <c r="M278" t="s">
        <v>32</v>
      </c>
      <c r="N278" t="s">
        <v>29</v>
      </c>
      <c r="O278" t="s">
        <v>24</v>
      </c>
      <c r="P278" t="s">
        <v>24</v>
      </c>
      <c r="Q278" t="s">
        <v>23</v>
      </c>
      <c r="R278" t="s">
        <v>24</v>
      </c>
      <c r="S278" t="s">
        <v>29</v>
      </c>
      <c r="T278" t="str">
        <f t="shared" si="8"/>
        <v>Medium risk</v>
      </c>
      <c r="U278" t="str">
        <f t="shared" si="9"/>
        <v>poor</v>
      </c>
    </row>
    <row r="279" spans="1:21">
      <c r="A279" t="s">
        <v>315</v>
      </c>
      <c r="B279">
        <v>65</v>
      </c>
      <c r="C279">
        <v>54749</v>
      </c>
      <c r="D279">
        <v>407</v>
      </c>
      <c r="E279">
        <v>0.249950700375936</v>
      </c>
      <c r="F279">
        <v>4</v>
      </c>
      <c r="G279">
        <v>0</v>
      </c>
      <c r="H279">
        <v>44439</v>
      </c>
      <c r="I279">
        <v>0.33623184587355498</v>
      </c>
      <c r="J279" t="s">
        <v>40</v>
      </c>
      <c r="K279">
        <v>14</v>
      </c>
      <c r="L279" t="s">
        <v>21</v>
      </c>
      <c r="M279" t="s">
        <v>28</v>
      </c>
      <c r="N279" t="s">
        <v>24</v>
      </c>
      <c r="O279" t="s">
        <v>24</v>
      </c>
      <c r="P279" t="s">
        <v>29</v>
      </c>
      <c r="Q279" t="s">
        <v>29</v>
      </c>
      <c r="R279" t="s">
        <v>29</v>
      </c>
      <c r="S279" t="s">
        <v>23</v>
      </c>
      <c r="T279" t="str">
        <f t="shared" si="8"/>
        <v>Medium risk</v>
      </c>
      <c r="U279" t="str">
        <f t="shared" si="9"/>
        <v>average</v>
      </c>
    </row>
    <row r="280" spans="1:21">
      <c r="A280" t="s">
        <v>316</v>
      </c>
      <c r="B280">
        <v>33</v>
      </c>
      <c r="D280">
        <v>418</v>
      </c>
      <c r="E280">
        <v>0.36450486860056702</v>
      </c>
      <c r="F280">
        <v>5</v>
      </c>
      <c r="G280">
        <v>0</v>
      </c>
      <c r="H280">
        <v>37905</v>
      </c>
      <c r="I280">
        <v>0.28560416062119798</v>
      </c>
      <c r="J280" t="s">
        <v>34</v>
      </c>
      <c r="K280">
        <v>17</v>
      </c>
      <c r="L280" t="s">
        <v>31</v>
      </c>
      <c r="M280" t="s">
        <v>53</v>
      </c>
      <c r="N280" t="s">
        <v>24</v>
      </c>
      <c r="O280" t="s">
        <v>29</v>
      </c>
      <c r="P280" t="s">
        <v>23</v>
      </c>
      <c r="Q280" t="s">
        <v>24</v>
      </c>
      <c r="R280" t="s">
        <v>24</v>
      </c>
      <c r="S280" t="s">
        <v>29</v>
      </c>
      <c r="T280" t="str">
        <f t="shared" si="8"/>
        <v>Medium risk</v>
      </c>
      <c r="U280" t="str">
        <f t="shared" si="9"/>
        <v>poor</v>
      </c>
    </row>
    <row r="281" spans="1:21">
      <c r="A281" t="s">
        <v>317</v>
      </c>
      <c r="B281">
        <v>50</v>
      </c>
      <c r="C281">
        <v>65990</v>
      </c>
      <c r="D281">
        <v>622</v>
      </c>
      <c r="E281">
        <v>0.63434945821545796</v>
      </c>
      <c r="F281">
        <v>2</v>
      </c>
      <c r="G281">
        <v>0</v>
      </c>
      <c r="H281">
        <v>99005</v>
      </c>
      <c r="I281">
        <v>0.320299211293607</v>
      </c>
      <c r="J281" t="s">
        <v>40</v>
      </c>
      <c r="K281">
        <v>18</v>
      </c>
      <c r="L281" t="s">
        <v>21</v>
      </c>
      <c r="M281" t="s">
        <v>22</v>
      </c>
      <c r="N281" t="s">
        <v>24</v>
      </c>
      <c r="O281" t="s">
        <v>24</v>
      </c>
      <c r="P281" t="s">
        <v>24</v>
      </c>
      <c r="Q281" t="s">
        <v>24</v>
      </c>
      <c r="R281" t="s">
        <v>23</v>
      </c>
      <c r="S281" t="s">
        <v>24</v>
      </c>
      <c r="T281" t="str">
        <f t="shared" si="8"/>
        <v>Medium risk</v>
      </c>
      <c r="U281" t="str">
        <f t="shared" si="9"/>
        <v>poor</v>
      </c>
    </row>
    <row r="282" spans="1:21">
      <c r="A282" t="s">
        <v>318</v>
      </c>
      <c r="B282">
        <v>26</v>
      </c>
      <c r="C282">
        <v>42350</v>
      </c>
      <c r="D282">
        <v>825</v>
      </c>
      <c r="E282">
        <v>0.57878239464723003</v>
      </c>
      <c r="F282">
        <v>1</v>
      </c>
      <c r="G282">
        <v>0</v>
      </c>
      <c r="H282">
        <v>46813</v>
      </c>
      <c r="I282">
        <v>0.31531225625910703</v>
      </c>
      <c r="J282" t="s">
        <v>40</v>
      </c>
      <c r="K282">
        <v>1</v>
      </c>
      <c r="L282" t="s">
        <v>37</v>
      </c>
      <c r="M282" t="s">
        <v>28</v>
      </c>
      <c r="N282" t="s">
        <v>23</v>
      </c>
      <c r="O282" t="s">
        <v>23</v>
      </c>
      <c r="P282" t="s">
        <v>23</v>
      </c>
      <c r="Q282" t="s">
        <v>24</v>
      </c>
      <c r="R282" t="s">
        <v>24</v>
      </c>
      <c r="S282" t="s">
        <v>23</v>
      </c>
      <c r="T282" t="str">
        <f t="shared" si="8"/>
        <v>low risk</v>
      </c>
      <c r="U282" t="str">
        <f t="shared" si="9"/>
        <v>average</v>
      </c>
    </row>
    <row r="283" spans="1:21">
      <c r="A283" t="s">
        <v>319</v>
      </c>
      <c r="B283">
        <v>23</v>
      </c>
      <c r="C283">
        <v>42350</v>
      </c>
      <c r="D283">
        <v>823</v>
      </c>
      <c r="E283">
        <v>0.324994918468751</v>
      </c>
      <c r="F283">
        <v>3</v>
      </c>
      <c r="G283">
        <v>1</v>
      </c>
      <c r="I283">
        <v>0.39907082537035099</v>
      </c>
      <c r="J283" t="s">
        <v>34</v>
      </c>
      <c r="K283">
        <v>3</v>
      </c>
      <c r="L283" t="s">
        <v>45</v>
      </c>
      <c r="M283" t="s">
        <v>22</v>
      </c>
      <c r="N283" t="s">
        <v>29</v>
      </c>
      <c r="O283" t="s">
        <v>24</v>
      </c>
      <c r="P283" t="s">
        <v>24</v>
      </c>
      <c r="Q283" t="s">
        <v>23</v>
      </c>
      <c r="R283" t="s">
        <v>23</v>
      </c>
      <c r="S283" t="s">
        <v>24</v>
      </c>
      <c r="T283" t="str">
        <f t="shared" si="8"/>
        <v>High risk</v>
      </c>
      <c r="U283" t="str">
        <f t="shared" si="9"/>
        <v>poor</v>
      </c>
    </row>
    <row r="284" spans="1:21">
      <c r="A284" t="s">
        <v>320</v>
      </c>
      <c r="B284">
        <v>33</v>
      </c>
      <c r="C284">
        <v>116570</v>
      </c>
      <c r="D284">
        <v>452</v>
      </c>
      <c r="E284">
        <v>0.416761199453971</v>
      </c>
      <c r="F284">
        <v>2</v>
      </c>
      <c r="G284">
        <v>0</v>
      </c>
      <c r="H284">
        <v>50989</v>
      </c>
      <c r="I284">
        <v>0.353813296456846</v>
      </c>
      <c r="J284" t="s">
        <v>43</v>
      </c>
      <c r="K284">
        <v>2</v>
      </c>
      <c r="L284" t="s">
        <v>45</v>
      </c>
      <c r="M284" t="s">
        <v>32</v>
      </c>
      <c r="N284" t="s">
        <v>24</v>
      </c>
      <c r="O284" t="s">
        <v>29</v>
      </c>
      <c r="P284" t="s">
        <v>24</v>
      </c>
      <c r="Q284" t="s">
        <v>29</v>
      </c>
      <c r="R284" t="s">
        <v>23</v>
      </c>
      <c r="S284" t="s">
        <v>24</v>
      </c>
      <c r="T284" t="str">
        <f t="shared" si="8"/>
        <v>Medium risk</v>
      </c>
      <c r="U284" t="str">
        <f t="shared" si="9"/>
        <v>poor</v>
      </c>
    </row>
    <row r="285" spans="1:21">
      <c r="A285" t="s">
        <v>321</v>
      </c>
      <c r="B285">
        <v>46</v>
      </c>
      <c r="C285">
        <v>159572</v>
      </c>
      <c r="D285">
        <v>724</v>
      </c>
      <c r="E285">
        <v>0.26384358746993197</v>
      </c>
      <c r="F285">
        <v>4</v>
      </c>
      <c r="G285">
        <v>1</v>
      </c>
      <c r="H285">
        <v>74433</v>
      </c>
      <c r="I285">
        <v>0.38305079576600798</v>
      </c>
      <c r="J285" t="s">
        <v>20</v>
      </c>
      <c r="K285">
        <v>6</v>
      </c>
      <c r="L285" t="s">
        <v>45</v>
      </c>
      <c r="M285" t="s">
        <v>38</v>
      </c>
      <c r="N285" t="s">
        <v>29</v>
      </c>
      <c r="O285" t="s">
        <v>29</v>
      </c>
      <c r="P285" t="s">
        <v>29</v>
      </c>
      <c r="Q285" t="s">
        <v>29</v>
      </c>
      <c r="R285" t="s">
        <v>23</v>
      </c>
      <c r="S285" t="s">
        <v>24</v>
      </c>
      <c r="T285" t="str">
        <f t="shared" si="8"/>
        <v>High risk</v>
      </c>
      <c r="U285" t="str">
        <f t="shared" si="9"/>
        <v>average</v>
      </c>
    </row>
    <row r="286" spans="1:21">
      <c r="A286" t="s">
        <v>322</v>
      </c>
      <c r="B286">
        <v>20</v>
      </c>
      <c r="C286">
        <v>116570</v>
      </c>
      <c r="D286">
        <v>739</v>
      </c>
      <c r="E286">
        <v>0.696096999904114</v>
      </c>
      <c r="F286">
        <v>6</v>
      </c>
      <c r="G286">
        <v>0</v>
      </c>
      <c r="H286">
        <v>52331</v>
      </c>
      <c r="I286">
        <v>0.19344653101030501</v>
      </c>
      <c r="J286" t="s">
        <v>50</v>
      </c>
      <c r="K286">
        <v>17</v>
      </c>
      <c r="L286" t="s">
        <v>45</v>
      </c>
      <c r="M286" t="s">
        <v>28</v>
      </c>
      <c r="N286" t="s">
        <v>23</v>
      </c>
      <c r="O286" t="s">
        <v>23</v>
      </c>
      <c r="P286" t="s">
        <v>29</v>
      </c>
      <c r="Q286" t="s">
        <v>23</v>
      </c>
      <c r="R286" t="s">
        <v>23</v>
      </c>
      <c r="S286" t="s">
        <v>24</v>
      </c>
      <c r="T286" t="str">
        <f t="shared" si="8"/>
        <v>Medium risk</v>
      </c>
      <c r="U286" t="str">
        <f t="shared" si="9"/>
        <v>average</v>
      </c>
    </row>
    <row r="287" spans="1:21">
      <c r="A287" t="s">
        <v>323</v>
      </c>
      <c r="B287">
        <v>37</v>
      </c>
      <c r="C287">
        <v>190333</v>
      </c>
      <c r="D287">
        <v>700</v>
      </c>
      <c r="E287">
        <v>0.44882372846589302</v>
      </c>
      <c r="F287">
        <v>0</v>
      </c>
      <c r="G287">
        <v>0</v>
      </c>
      <c r="H287">
        <v>41958</v>
      </c>
      <c r="I287">
        <v>0.41931708649751398</v>
      </c>
      <c r="J287" t="s">
        <v>40</v>
      </c>
      <c r="K287">
        <v>9</v>
      </c>
      <c r="L287" t="s">
        <v>45</v>
      </c>
      <c r="M287" t="s">
        <v>28</v>
      </c>
      <c r="N287" t="s">
        <v>23</v>
      </c>
      <c r="O287" t="s">
        <v>24</v>
      </c>
      <c r="P287" t="s">
        <v>29</v>
      </c>
      <c r="Q287" t="s">
        <v>29</v>
      </c>
      <c r="R287" t="s">
        <v>23</v>
      </c>
      <c r="S287" t="s">
        <v>29</v>
      </c>
      <c r="T287" t="str">
        <f t="shared" si="8"/>
        <v>low risk</v>
      </c>
      <c r="U287" t="str">
        <f t="shared" si="9"/>
        <v>average</v>
      </c>
    </row>
    <row r="288" spans="1:21">
      <c r="A288" t="s">
        <v>324</v>
      </c>
      <c r="B288">
        <v>53</v>
      </c>
      <c r="C288">
        <v>32955</v>
      </c>
      <c r="D288">
        <v>482</v>
      </c>
      <c r="E288">
        <v>0.85843118215212599</v>
      </c>
      <c r="F288">
        <v>4</v>
      </c>
      <c r="G288">
        <v>1</v>
      </c>
      <c r="H288">
        <v>45089</v>
      </c>
      <c r="I288">
        <v>0.22776372605110001</v>
      </c>
      <c r="J288" t="s">
        <v>40</v>
      </c>
      <c r="K288">
        <v>6</v>
      </c>
      <c r="L288" t="s">
        <v>45</v>
      </c>
      <c r="M288" t="s">
        <v>22</v>
      </c>
      <c r="N288" t="s">
        <v>24</v>
      </c>
      <c r="O288" t="s">
        <v>24</v>
      </c>
      <c r="P288" t="s">
        <v>23</v>
      </c>
      <c r="Q288" t="s">
        <v>23</v>
      </c>
      <c r="R288" t="s">
        <v>23</v>
      </c>
      <c r="S288" t="s">
        <v>24</v>
      </c>
      <c r="T288" t="str">
        <f t="shared" si="8"/>
        <v>High risk</v>
      </c>
      <c r="U288" t="str">
        <f t="shared" si="9"/>
        <v>poor</v>
      </c>
    </row>
    <row r="289" spans="1:21">
      <c r="A289" t="s">
        <v>325</v>
      </c>
      <c r="B289">
        <v>36</v>
      </c>
      <c r="C289">
        <v>141131</v>
      </c>
      <c r="D289">
        <v>385</v>
      </c>
      <c r="E289">
        <v>0.51622004880800398</v>
      </c>
      <c r="F289">
        <v>5</v>
      </c>
      <c r="G289">
        <v>0</v>
      </c>
      <c r="H289">
        <v>63375</v>
      </c>
      <c r="I289">
        <v>0.23351304573760101</v>
      </c>
      <c r="J289" t="s">
        <v>43</v>
      </c>
      <c r="K289">
        <v>7</v>
      </c>
      <c r="L289" t="s">
        <v>27</v>
      </c>
      <c r="M289" t="s">
        <v>32</v>
      </c>
      <c r="N289" t="s">
        <v>29</v>
      </c>
      <c r="O289" t="s">
        <v>24</v>
      </c>
      <c r="P289" t="s">
        <v>23</v>
      </c>
      <c r="Q289" t="s">
        <v>29</v>
      </c>
      <c r="R289" t="s">
        <v>29</v>
      </c>
      <c r="S289" t="s">
        <v>29</v>
      </c>
      <c r="T289" t="str">
        <f t="shared" si="8"/>
        <v>Medium risk</v>
      </c>
      <c r="U289" t="str">
        <f t="shared" si="9"/>
        <v>average</v>
      </c>
    </row>
    <row r="290" spans="1:21">
      <c r="A290" t="s">
        <v>326</v>
      </c>
      <c r="B290">
        <v>43</v>
      </c>
      <c r="C290">
        <v>68682</v>
      </c>
      <c r="D290">
        <v>579</v>
      </c>
      <c r="E290">
        <v>0.456051939319424</v>
      </c>
      <c r="F290">
        <v>1</v>
      </c>
      <c r="G290">
        <v>0</v>
      </c>
      <c r="H290">
        <v>86965</v>
      </c>
      <c r="I290">
        <v>0.32708425773529898</v>
      </c>
      <c r="J290" t="s">
        <v>50</v>
      </c>
      <c r="K290">
        <v>5</v>
      </c>
      <c r="L290" t="s">
        <v>31</v>
      </c>
      <c r="M290" t="s">
        <v>53</v>
      </c>
      <c r="N290" t="s">
        <v>24</v>
      </c>
      <c r="O290" t="s">
        <v>29</v>
      </c>
      <c r="P290" t="s">
        <v>23</v>
      </c>
      <c r="Q290" t="s">
        <v>23</v>
      </c>
      <c r="R290" t="s">
        <v>29</v>
      </c>
      <c r="S290" t="s">
        <v>24</v>
      </c>
      <c r="T290" t="str">
        <f t="shared" si="8"/>
        <v>low risk</v>
      </c>
      <c r="U290" t="str">
        <f t="shared" si="9"/>
        <v>average</v>
      </c>
    </row>
    <row r="291" spans="1:21">
      <c r="A291" t="s">
        <v>327</v>
      </c>
      <c r="B291">
        <v>20</v>
      </c>
      <c r="C291">
        <v>16062</v>
      </c>
      <c r="D291">
        <v>658</v>
      </c>
      <c r="E291">
        <v>0.43663564774163999</v>
      </c>
      <c r="F291">
        <v>5</v>
      </c>
      <c r="G291">
        <v>0</v>
      </c>
      <c r="H291">
        <v>67673</v>
      </c>
      <c r="I291">
        <v>0.33019182630492699</v>
      </c>
      <c r="J291" t="s">
        <v>26</v>
      </c>
      <c r="K291">
        <v>0</v>
      </c>
      <c r="L291" t="s">
        <v>45</v>
      </c>
      <c r="M291" t="s">
        <v>32</v>
      </c>
      <c r="N291" t="s">
        <v>23</v>
      </c>
      <c r="O291" t="s">
        <v>29</v>
      </c>
      <c r="P291" t="s">
        <v>29</v>
      </c>
      <c r="Q291" t="s">
        <v>24</v>
      </c>
      <c r="R291" t="s">
        <v>23</v>
      </c>
      <c r="S291" t="s">
        <v>29</v>
      </c>
      <c r="T291" t="str">
        <f t="shared" si="8"/>
        <v>Medium risk</v>
      </c>
      <c r="U291" t="str">
        <f t="shared" si="9"/>
        <v>average</v>
      </c>
    </row>
    <row r="292" spans="1:21">
      <c r="A292" t="s">
        <v>328</v>
      </c>
      <c r="B292">
        <v>36</v>
      </c>
      <c r="D292">
        <v>836</v>
      </c>
      <c r="E292">
        <v>0.45116003296151402</v>
      </c>
      <c r="F292">
        <v>3</v>
      </c>
      <c r="G292">
        <v>0</v>
      </c>
      <c r="H292">
        <v>70406</v>
      </c>
      <c r="I292">
        <v>0.19281431977675201</v>
      </c>
      <c r="J292" t="s">
        <v>43</v>
      </c>
      <c r="K292">
        <v>3</v>
      </c>
      <c r="L292" t="s">
        <v>31</v>
      </c>
      <c r="M292" t="s">
        <v>28</v>
      </c>
      <c r="N292" t="s">
        <v>23</v>
      </c>
      <c r="O292" t="s">
        <v>23</v>
      </c>
      <c r="P292" t="s">
        <v>23</v>
      </c>
      <c r="Q292" t="s">
        <v>23</v>
      </c>
      <c r="R292" t="s">
        <v>23</v>
      </c>
      <c r="S292" t="s">
        <v>23</v>
      </c>
      <c r="T292" t="str">
        <f t="shared" si="8"/>
        <v>Medium risk</v>
      </c>
      <c r="U292" t="str">
        <f t="shared" si="9"/>
        <v>good</v>
      </c>
    </row>
    <row r="293" spans="1:21">
      <c r="A293" t="s">
        <v>329</v>
      </c>
      <c r="B293">
        <v>37</v>
      </c>
      <c r="C293">
        <v>155734</v>
      </c>
      <c r="D293">
        <v>315</v>
      </c>
      <c r="E293">
        <v>0.52216421902676002</v>
      </c>
      <c r="F293">
        <v>3</v>
      </c>
      <c r="G293">
        <v>0</v>
      </c>
      <c r="H293">
        <v>84521</v>
      </c>
      <c r="I293">
        <v>0.28267207082260998</v>
      </c>
      <c r="J293" t="s">
        <v>50</v>
      </c>
      <c r="K293">
        <v>13</v>
      </c>
      <c r="L293" t="s">
        <v>45</v>
      </c>
      <c r="M293" t="s">
        <v>53</v>
      </c>
      <c r="N293" t="s">
        <v>24</v>
      </c>
      <c r="O293" t="s">
        <v>23</v>
      </c>
      <c r="P293" t="s">
        <v>24</v>
      </c>
      <c r="Q293" t="s">
        <v>29</v>
      </c>
      <c r="R293" t="s">
        <v>24</v>
      </c>
      <c r="S293" t="s">
        <v>24</v>
      </c>
      <c r="T293" t="str">
        <f t="shared" si="8"/>
        <v>Medium risk</v>
      </c>
      <c r="U293" t="str">
        <f t="shared" si="9"/>
        <v>poor</v>
      </c>
    </row>
    <row r="294" spans="1:21">
      <c r="A294" t="s">
        <v>330</v>
      </c>
      <c r="B294">
        <v>49</v>
      </c>
      <c r="C294">
        <v>38061</v>
      </c>
      <c r="D294">
        <v>316</v>
      </c>
      <c r="E294">
        <v>1.0024815153156601</v>
      </c>
      <c r="F294">
        <v>1</v>
      </c>
      <c r="G294">
        <v>0</v>
      </c>
      <c r="H294">
        <v>95267</v>
      </c>
      <c r="I294">
        <v>0.448823531686947</v>
      </c>
      <c r="J294" t="s">
        <v>43</v>
      </c>
      <c r="K294">
        <v>16</v>
      </c>
      <c r="L294" t="s">
        <v>21</v>
      </c>
      <c r="M294" t="s">
        <v>32</v>
      </c>
      <c r="N294" t="s">
        <v>23</v>
      </c>
      <c r="O294" t="s">
        <v>23</v>
      </c>
      <c r="P294" t="s">
        <v>23</v>
      </c>
      <c r="Q294" t="s">
        <v>23</v>
      </c>
      <c r="R294" t="s">
        <v>24</v>
      </c>
      <c r="S294" t="s">
        <v>24</v>
      </c>
      <c r="T294" t="str">
        <f t="shared" si="8"/>
        <v>low risk</v>
      </c>
      <c r="U294" t="str">
        <f t="shared" si="9"/>
        <v>average</v>
      </c>
    </row>
    <row r="295" spans="1:21">
      <c r="A295" t="s">
        <v>331</v>
      </c>
      <c r="B295">
        <v>24</v>
      </c>
      <c r="D295">
        <v>436</v>
      </c>
      <c r="E295">
        <v>0.43222806598012797</v>
      </c>
      <c r="F295">
        <v>2</v>
      </c>
      <c r="G295">
        <v>0</v>
      </c>
      <c r="H295">
        <v>45595</v>
      </c>
      <c r="I295">
        <v>0.15316634384659</v>
      </c>
      <c r="J295" t="s">
        <v>40</v>
      </c>
      <c r="K295">
        <v>19</v>
      </c>
      <c r="L295" t="s">
        <v>45</v>
      </c>
      <c r="M295" t="s">
        <v>38</v>
      </c>
      <c r="N295" t="s">
        <v>23</v>
      </c>
      <c r="O295" t="s">
        <v>23</v>
      </c>
      <c r="P295" t="s">
        <v>29</v>
      </c>
      <c r="Q295" t="s">
        <v>24</v>
      </c>
      <c r="R295" t="s">
        <v>29</v>
      </c>
      <c r="S295" t="s">
        <v>24</v>
      </c>
      <c r="T295" t="str">
        <f t="shared" si="8"/>
        <v>Medium risk</v>
      </c>
      <c r="U295" t="str">
        <f t="shared" si="9"/>
        <v>average</v>
      </c>
    </row>
    <row r="296" spans="1:21">
      <c r="A296" t="s">
        <v>332</v>
      </c>
      <c r="B296">
        <v>69</v>
      </c>
      <c r="C296">
        <v>43251</v>
      </c>
      <c r="D296">
        <v>515</v>
      </c>
      <c r="E296">
        <v>0.43872930784573799</v>
      </c>
      <c r="F296">
        <v>2</v>
      </c>
      <c r="G296">
        <v>1</v>
      </c>
      <c r="H296">
        <v>52331</v>
      </c>
      <c r="I296">
        <v>0.44852192410127201</v>
      </c>
      <c r="J296" t="s">
        <v>20</v>
      </c>
      <c r="K296">
        <v>17</v>
      </c>
      <c r="L296" t="s">
        <v>37</v>
      </c>
      <c r="M296" t="s">
        <v>22</v>
      </c>
      <c r="N296" t="s">
        <v>24</v>
      </c>
      <c r="O296" t="s">
        <v>24</v>
      </c>
      <c r="P296" t="s">
        <v>29</v>
      </c>
      <c r="Q296" t="s">
        <v>23</v>
      </c>
      <c r="R296" t="s">
        <v>23</v>
      </c>
      <c r="S296" t="s">
        <v>29</v>
      </c>
      <c r="T296" t="str">
        <f t="shared" si="8"/>
        <v>High risk</v>
      </c>
      <c r="U296" t="str">
        <f t="shared" si="9"/>
        <v>average</v>
      </c>
    </row>
    <row r="297" spans="1:21">
      <c r="A297" t="s">
        <v>333</v>
      </c>
      <c r="B297">
        <v>58</v>
      </c>
      <c r="C297">
        <v>90353</v>
      </c>
      <c r="D297">
        <v>658</v>
      </c>
      <c r="E297">
        <v>0.51311876913663501</v>
      </c>
      <c r="F297">
        <v>3</v>
      </c>
      <c r="G297">
        <v>0</v>
      </c>
      <c r="H297">
        <v>82714</v>
      </c>
      <c r="I297">
        <v>0.275830154858351</v>
      </c>
      <c r="J297" t="s">
        <v>43</v>
      </c>
      <c r="K297">
        <v>10</v>
      </c>
      <c r="L297" t="s">
        <v>27</v>
      </c>
      <c r="M297" t="s">
        <v>32</v>
      </c>
      <c r="N297" t="s">
        <v>24</v>
      </c>
      <c r="O297" t="s">
        <v>24</v>
      </c>
      <c r="P297" t="s">
        <v>23</v>
      </c>
      <c r="Q297" t="s">
        <v>24</v>
      </c>
      <c r="R297" t="s">
        <v>23</v>
      </c>
      <c r="S297" t="s">
        <v>24</v>
      </c>
      <c r="T297" t="str">
        <f t="shared" si="8"/>
        <v>Medium risk</v>
      </c>
      <c r="U297" t="str">
        <f t="shared" si="9"/>
        <v>poor</v>
      </c>
    </row>
    <row r="298" spans="1:21">
      <c r="A298" t="s">
        <v>334</v>
      </c>
      <c r="B298">
        <v>50</v>
      </c>
      <c r="C298">
        <v>81234</v>
      </c>
      <c r="D298">
        <v>310</v>
      </c>
      <c r="E298">
        <v>0.71805490126885196</v>
      </c>
      <c r="F298">
        <v>3</v>
      </c>
      <c r="G298">
        <v>0</v>
      </c>
      <c r="H298">
        <v>79552</v>
      </c>
      <c r="I298">
        <v>0.1</v>
      </c>
      <c r="J298" t="s">
        <v>26</v>
      </c>
      <c r="K298">
        <v>13</v>
      </c>
      <c r="L298" t="s">
        <v>21</v>
      </c>
      <c r="M298" t="s">
        <v>32</v>
      </c>
      <c r="N298" t="s">
        <v>29</v>
      </c>
      <c r="O298" t="s">
        <v>29</v>
      </c>
      <c r="P298" t="s">
        <v>29</v>
      </c>
      <c r="Q298" t="s">
        <v>29</v>
      </c>
      <c r="R298" t="s">
        <v>24</v>
      </c>
      <c r="S298" t="s">
        <v>29</v>
      </c>
      <c r="T298" t="str">
        <f t="shared" si="8"/>
        <v>Medium risk</v>
      </c>
      <c r="U298" t="str">
        <f t="shared" si="9"/>
        <v>average</v>
      </c>
    </row>
    <row r="299" spans="1:21">
      <c r="A299" t="s">
        <v>335</v>
      </c>
      <c r="B299">
        <v>57</v>
      </c>
      <c r="C299">
        <v>19835</v>
      </c>
      <c r="D299">
        <v>793</v>
      </c>
      <c r="E299">
        <v>0.21580308778544399</v>
      </c>
      <c r="F299">
        <v>6</v>
      </c>
      <c r="G299">
        <v>0</v>
      </c>
      <c r="H299">
        <v>41653</v>
      </c>
      <c r="I299">
        <v>0.163326826651709</v>
      </c>
      <c r="J299" t="s">
        <v>34</v>
      </c>
      <c r="K299">
        <v>8</v>
      </c>
      <c r="L299" t="s">
        <v>21</v>
      </c>
      <c r="M299" t="s">
        <v>38</v>
      </c>
      <c r="N299" t="s">
        <v>23</v>
      </c>
      <c r="O299" t="s">
        <v>29</v>
      </c>
      <c r="P299" t="s">
        <v>23</v>
      </c>
      <c r="Q299" t="s">
        <v>29</v>
      </c>
      <c r="R299" t="s">
        <v>24</v>
      </c>
      <c r="S299" t="s">
        <v>24</v>
      </c>
      <c r="T299" t="str">
        <f t="shared" si="8"/>
        <v>Medium risk</v>
      </c>
      <c r="U299" t="str">
        <f t="shared" si="9"/>
        <v>average</v>
      </c>
    </row>
    <row r="300" spans="1:21">
      <c r="A300" t="s">
        <v>336</v>
      </c>
      <c r="B300">
        <v>56</v>
      </c>
      <c r="D300">
        <v>673</v>
      </c>
      <c r="E300">
        <v>0.59101854738192905</v>
      </c>
      <c r="F300">
        <v>0</v>
      </c>
      <c r="G300">
        <v>1</v>
      </c>
      <c r="H300">
        <v>89660</v>
      </c>
      <c r="I300">
        <v>0.20365224622648001</v>
      </c>
      <c r="J300" t="s">
        <v>50</v>
      </c>
      <c r="K300">
        <v>14</v>
      </c>
      <c r="L300" t="s">
        <v>37</v>
      </c>
      <c r="M300" t="s">
        <v>28</v>
      </c>
      <c r="N300" t="s">
        <v>23</v>
      </c>
      <c r="O300" t="s">
        <v>24</v>
      </c>
      <c r="P300" t="s">
        <v>29</v>
      </c>
      <c r="Q300" t="s">
        <v>23</v>
      </c>
      <c r="R300" t="s">
        <v>24</v>
      </c>
      <c r="S300" t="s">
        <v>29</v>
      </c>
      <c r="T300" t="str">
        <f t="shared" si="8"/>
        <v>High risk</v>
      </c>
      <c r="U300" t="str">
        <f t="shared" si="9"/>
        <v>average</v>
      </c>
    </row>
    <row r="301" spans="1:21">
      <c r="A301" t="s">
        <v>337</v>
      </c>
      <c r="B301">
        <v>35</v>
      </c>
      <c r="D301">
        <v>321</v>
      </c>
      <c r="E301">
        <v>0.33651496479576698</v>
      </c>
      <c r="F301">
        <v>6</v>
      </c>
      <c r="G301">
        <v>0</v>
      </c>
      <c r="H301">
        <v>62342</v>
      </c>
      <c r="I301">
        <v>0.23760706992172501</v>
      </c>
      <c r="J301" t="s">
        <v>43</v>
      </c>
      <c r="K301">
        <v>11</v>
      </c>
      <c r="L301" t="s">
        <v>45</v>
      </c>
      <c r="M301" t="s">
        <v>22</v>
      </c>
      <c r="N301" t="s">
        <v>24</v>
      </c>
      <c r="O301" t="s">
        <v>23</v>
      </c>
      <c r="P301" t="s">
        <v>23</v>
      </c>
      <c r="Q301" t="s">
        <v>23</v>
      </c>
      <c r="R301" t="s">
        <v>24</v>
      </c>
      <c r="S301" t="s">
        <v>29</v>
      </c>
      <c r="T301" t="str">
        <f t="shared" si="8"/>
        <v>Medium risk</v>
      </c>
      <c r="U301" t="str">
        <f t="shared" si="9"/>
        <v>average</v>
      </c>
    </row>
    <row r="302" spans="1:21">
      <c r="A302" t="s">
        <v>338</v>
      </c>
      <c r="B302">
        <v>57</v>
      </c>
      <c r="C302">
        <v>159188</v>
      </c>
      <c r="D302">
        <v>415</v>
      </c>
      <c r="E302">
        <v>0.61065453779018897</v>
      </c>
      <c r="F302">
        <v>6</v>
      </c>
      <c r="G302">
        <v>0</v>
      </c>
      <c r="H302">
        <v>52259</v>
      </c>
      <c r="I302">
        <v>0.28952867413746602</v>
      </c>
      <c r="J302" t="s">
        <v>43</v>
      </c>
      <c r="K302">
        <v>9</v>
      </c>
      <c r="L302" t="s">
        <v>27</v>
      </c>
      <c r="M302" t="s">
        <v>32</v>
      </c>
      <c r="N302" t="s">
        <v>24</v>
      </c>
      <c r="O302" t="s">
        <v>23</v>
      </c>
      <c r="P302" t="s">
        <v>23</v>
      </c>
      <c r="Q302" t="s">
        <v>24</v>
      </c>
      <c r="R302" t="s">
        <v>29</v>
      </c>
      <c r="S302" t="s">
        <v>23</v>
      </c>
      <c r="T302" t="str">
        <f t="shared" si="8"/>
        <v>Medium risk</v>
      </c>
      <c r="U302" t="str">
        <f t="shared" si="9"/>
        <v>average</v>
      </c>
    </row>
    <row r="303" spans="1:21">
      <c r="A303" t="s">
        <v>339</v>
      </c>
      <c r="B303">
        <v>18</v>
      </c>
      <c r="C303">
        <v>70479</v>
      </c>
      <c r="D303">
        <v>834</v>
      </c>
      <c r="E303">
        <v>0.40124801152790801</v>
      </c>
      <c r="F303">
        <v>2</v>
      </c>
      <c r="G303">
        <v>0</v>
      </c>
      <c r="H303">
        <v>82789</v>
      </c>
      <c r="I303">
        <v>0.1</v>
      </c>
      <c r="J303" t="s">
        <v>26</v>
      </c>
      <c r="K303">
        <v>18</v>
      </c>
      <c r="L303" t="s">
        <v>21</v>
      </c>
      <c r="M303" t="s">
        <v>53</v>
      </c>
      <c r="N303" t="s">
        <v>24</v>
      </c>
      <c r="O303" t="s">
        <v>23</v>
      </c>
      <c r="P303" t="s">
        <v>23</v>
      </c>
      <c r="Q303" t="s">
        <v>23</v>
      </c>
      <c r="R303" t="s">
        <v>24</v>
      </c>
      <c r="S303" t="s">
        <v>23</v>
      </c>
      <c r="T303" t="str">
        <f t="shared" si="8"/>
        <v>Medium risk</v>
      </c>
      <c r="U303" t="str">
        <f t="shared" si="9"/>
        <v>average</v>
      </c>
    </row>
    <row r="304" spans="1:21">
      <c r="A304" t="s">
        <v>340</v>
      </c>
      <c r="B304">
        <v>28</v>
      </c>
      <c r="C304">
        <v>119573</v>
      </c>
      <c r="D304">
        <v>700</v>
      </c>
      <c r="E304">
        <v>0.05</v>
      </c>
      <c r="F304">
        <v>1</v>
      </c>
      <c r="G304">
        <v>0</v>
      </c>
      <c r="H304">
        <v>52217</v>
      </c>
      <c r="I304">
        <v>0.31868043924776501</v>
      </c>
      <c r="J304" t="s">
        <v>20</v>
      </c>
      <c r="K304">
        <v>18</v>
      </c>
      <c r="L304" t="s">
        <v>27</v>
      </c>
      <c r="M304" t="s">
        <v>32</v>
      </c>
      <c r="N304" t="s">
        <v>24</v>
      </c>
      <c r="O304" t="s">
        <v>23</v>
      </c>
      <c r="P304" t="s">
        <v>23</v>
      </c>
      <c r="Q304" t="s">
        <v>24</v>
      </c>
      <c r="R304" t="s">
        <v>29</v>
      </c>
      <c r="S304" t="s">
        <v>24</v>
      </c>
      <c r="T304" t="str">
        <f t="shared" si="8"/>
        <v>low risk</v>
      </c>
      <c r="U304" t="str">
        <f t="shared" si="9"/>
        <v>poor</v>
      </c>
    </row>
    <row r="305" spans="1:21">
      <c r="A305" t="s">
        <v>341</v>
      </c>
      <c r="B305">
        <v>45</v>
      </c>
      <c r="C305">
        <v>81234</v>
      </c>
      <c r="D305">
        <v>584</v>
      </c>
      <c r="E305">
        <v>0.57391552053749695</v>
      </c>
      <c r="F305">
        <v>2</v>
      </c>
      <c r="G305">
        <v>0</v>
      </c>
      <c r="H305">
        <v>9859</v>
      </c>
      <c r="I305">
        <v>0.194490949167511</v>
      </c>
      <c r="J305" t="s">
        <v>43</v>
      </c>
      <c r="K305">
        <v>5</v>
      </c>
      <c r="L305" t="s">
        <v>21</v>
      </c>
      <c r="M305" t="s">
        <v>22</v>
      </c>
      <c r="N305" t="s">
        <v>23</v>
      </c>
      <c r="O305" t="s">
        <v>23</v>
      </c>
      <c r="P305" t="s">
        <v>24</v>
      </c>
      <c r="Q305" t="s">
        <v>24</v>
      </c>
      <c r="R305" t="s">
        <v>24</v>
      </c>
      <c r="S305" t="s">
        <v>23</v>
      </c>
      <c r="T305" t="str">
        <f t="shared" si="8"/>
        <v>Medium risk</v>
      </c>
      <c r="U305" t="str">
        <f t="shared" si="9"/>
        <v>poor</v>
      </c>
    </row>
    <row r="306" spans="1:21">
      <c r="A306" t="s">
        <v>342</v>
      </c>
      <c r="B306">
        <v>74</v>
      </c>
      <c r="C306">
        <v>149415</v>
      </c>
      <c r="D306">
        <v>591</v>
      </c>
      <c r="E306">
        <v>0.57222895406937302</v>
      </c>
      <c r="F306">
        <v>0</v>
      </c>
      <c r="G306">
        <v>0</v>
      </c>
      <c r="H306">
        <v>52217</v>
      </c>
      <c r="I306">
        <v>0.43905225716010499</v>
      </c>
      <c r="J306" t="s">
        <v>43</v>
      </c>
      <c r="K306">
        <v>19</v>
      </c>
      <c r="L306" t="s">
        <v>45</v>
      </c>
      <c r="M306" t="s">
        <v>32</v>
      </c>
      <c r="N306" t="s">
        <v>23</v>
      </c>
      <c r="O306" t="s">
        <v>24</v>
      </c>
      <c r="P306" t="s">
        <v>29</v>
      </c>
      <c r="Q306" t="s">
        <v>29</v>
      </c>
      <c r="R306" t="s">
        <v>29</v>
      </c>
      <c r="S306" t="s">
        <v>23</v>
      </c>
      <c r="T306" t="str">
        <f t="shared" si="8"/>
        <v>low risk</v>
      </c>
      <c r="U306" t="str">
        <f t="shared" si="9"/>
        <v>average</v>
      </c>
    </row>
    <row r="307" spans="1:21">
      <c r="A307" t="s">
        <v>343</v>
      </c>
      <c r="B307">
        <v>42</v>
      </c>
      <c r="C307">
        <v>136465</v>
      </c>
      <c r="D307">
        <v>595</v>
      </c>
      <c r="E307">
        <v>0.38418393830411401</v>
      </c>
      <c r="F307">
        <v>5</v>
      </c>
      <c r="G307">
        <v>0</v>
      </c>
      <c r="H307">
        <v>75316</v>
      </c>
      <c r="I307">
        <v>0.27298232792560201</v>
      </c>
      <c r="J307" t="s">
        <v>20</v>
      </c>
      <c r="K307">
        <v>5</v>
      </c>
      <c r="L307" t="s">
        <v>21</v>
      </c>
      <c r="M307" t="s">
        <v>38</v>
      </c>
      <c r="N307" t="s">
        <v>23</v>
      </c>
      <c r="O307" t="s">
        <v>23</v>
      </c>
      <c r="P307" t="s">
        <v>23</v>
      </c>
      <c r="Q307" t="s">
        <v>29</v>
      </c>
      <c r="R307" t="s">
        <v>24</v>
      </c>
      <c r="S307" t="s">
        <v>29</v>
      </c>
      <c r="T307" t="str">
        <f t="shared" si="8"/>
        <v>Medium risk</v>
      </c>
      <c r="U307" t="str">
        <f t="shared" si="9"/>
        <v>average</v>
      </c>
    </row>
    <row r="308" spans="1:21">
      <c r="A308" t="s">
        <v>344</v>
      </c>
      <c r="B308">
        <v>67</v>
      </c>
      <c r="C308">
        <v>53494</v>
      </c>
      <c r="D308">
        <v>591</v>
      </c>
      <c r="E308">
        <v>0.372331227971399</v>
      </c>
      <c r="F308">
        <v>3</v>
      </c>
      <c r="G308">
        <v>0</v>
      </c>
      <c r="H308">
        <v>12176</v>
      </c>
      <c r="I308">
        <v>0.39428461717327201</v>
      </c>
      <c r="J308" t="s">
        <v>26</v>
      </c>
      <c r="K308">
        <v>7</v>
      </c>
      <c r="L308" t="s">
        <v>21</v>
      </c>
      <c r="M308" t="s">
        <v>32</v>
      </c>
      <c r="N308" t="s">
        <v>29</v>
      </c>
      <c r="O308" t="s">
        <v>29</v>
      </c>
      <c r="P308" t="s">
        <v>23</v>
      </c>
      <c r="Q308" t="s">
        <v>24</v>
      </c>
      <c r="R308" t="s">
        <v>23</v>
      </c>
      <c r="S308" t="s">
        <v>29</v>
      </c>
      <c r="T308" t="str">
        <f t="shared" si="8"/>
        <v>Medium risk</v>
      </c>
      <c r="U308" t="str">
        <f t="shared" si="9"/>
        <v>average</v>
      </c>
    </row>
    <row r="309" spans="1:21">
      <c r="A309" t="s">
        <v>345</v>
      </c>
      <c r="B309">
        <v>40</v>
      </c>
      <c r="D309">
        <v>307</v>
      </c>
      <c r="E309">
        <v>0.237725454982469</v>
      </c>
      <c r="F309">
        <v>3</v>
      </c>
      <c r="G309">
        <v>0</v>
      </c>
      <c r="H309">
        <v>71588</v>
      </c>
      <c r="I309">
        <v>0.411034897991429</v>
      </c>
      <c r="J309" t="s">
        <v>50</v>
      </c>
      <c r="K309">
        <v>0</v>
      </c>
      <c r="L309" t="s">
        <v>31</v>
      </c>
      <c r="M309" t="s">
        <v>32</v>
      </c>
      <c r="N309" t="s">
        <v>24</v>
      </c>
      <c r="O309" t="s">
        <v>23</v>
      </c>
      <c r="P309" t="s">
        <v>29</v>
      </c>
      <c r="Q309" t="s">
        <v>24</v>
      </c>
      <c r="R309" t="s">
        <v>24</v>
      </c>
      <c r="S309" t="s">
        <v>24</v>
      </c>
      <c r="T309" t="str">
        <f t="shared" si="8"/>
        <v>Medium risk</v>
      </c>
      <c r="U309" t="str">
        <f t="shared" si="9"/>
        <v>poor</v>
      </c>
    </row>
    <row r="310" spans="1:21">
      <c r="A310" t="s">
        <v>346</v>
      </c>
      <c r="B310">
        <v>48</v>
      </c>
      <c r="C310">
        <v>70479</v>
      </c>
      <c r="D310">
        <v>385</v>
      </c>
      <c r="E310">
        <v>0.65461998830777401</v>
      </c>
      <c r="F310">
        <v>0</v>
      </c>
      <c r="G310">
        <v>1</v>
      </c>
      <c r="H310">
        <v>99005</v>
      </c>
      <c r="I310">
        <v>0.408327324346621</v>
      </c>
      <c r="J310" t="s">
        <v>50</v>
      </c>
      <c r="K310">
        <v>16</v>
      </c>
      <c r="L310" t="s">
        <v>45</v>
      </c>
      <c r="M310" t="s">
        <v>53</v>
      </c>
      <c r="N310" t="s">
        <v>24</v>
      </c>
      <c r="O310" t="s">
        <v>23</v>
      </c>
      <c r="P310" t="s">
        <v>29</v>
      </c>
      <c r="Q310" t="s">
        <v>23</v>
      </c>
      <c r="R310" t="s">
        <v>23</v>
      </c>
      <c r="S310" t="s">
        <v>29</v>
      </c>
      <c r="T310" t="str">
        <f t="shared" si="8"/>
        <v>High risk</v>
      </c>
      <c r="U310" t="str">
        <f t="shared" si="9"/>
        <v>average</v>
      </c>
    </row>
    <row r="311" spans="1:21">
      <c r="A311" t="s">
        <v>347</v>
      </c>
      <c r="B311">
        <v>47</v>
      </c>
      <c r="C311">
        <v>90697</v>
      </c>
      <c r="D311">
        <v>682</v>
      </c>
      <c r="E311">
        <v>0.67644315649336095</v>
      </c>
      <c r="F311">
        <v>6</v>
      </c>
      <c r="G311">
        <v>1</v>
      </c>
      <c r="H311">
        <v>46720</v>
      </c>
      <c r="I311">
        <v>0.24335932570375099</v>
      </c>
      <c r="J311" t="s">
        <v>43</v>
      </c>
      <c r="K311">
        <v>16</v>
      </c>
      <c r="L311" t="s">
        <v>37</v>
      </c>
      <c r="M311" t="s">
        <v>38</v>
      </c>
      <c r="N311" t="s">
        <v>23</v>
      </c>
      <c r="O311" t="s">
        <v>24</v>
      </c>
      <c r="P311" t="s">
        <v>24</v>
      </c>
      <c r="Q311" t="s">
        <v>23</v>
      </c>
      <c r="R311" t="s">
        <v>29</v>
      </c>
      <c r="S311" t="s">
        <v>23</v>
      </c>
      <c r="T311" t="str">
        <f t="shared" si="8"/>
        <v>High risk</v>
      </c>
      <c r="U311" t="str">
        <f t="shared" si="9"/>
        <v>average</v>
      </c>
    </row>
    <row r="312" spans="1:21">
      <c r="A312" t="s">
        <v>348</v>
      </c>
      <c r="B312">
        <v>59</v>
      </c>
      <c r="C312">
        <v>19835</v>
      </c>
      <c r="D312">
        <v>374</v>
      </c>
      <c r="E312">
        <v>0.32418982296482202</v>
      </c>
      <c r="F312">
        <v>1</v>
      </c>
      <c r="G312">
        <v>0</v>
      </c>
      <c r="H312">
        <v>82909</v>
      </c>
      <c r="I312">
        <v>0.242079984227867</v>
      </c>
      <c r="J312" t="s">
        <v>20</v>
      </c>
      <c r="K312">
        <v>14</v>
      </c>
      <c r="L312" t="s">
        <v>37</v>
      </c>
      <c r="M312" t="s">
        <v>38</v>
      </c>
      <c r="N312" t="s">
        <v>23</v>
      </c>
      <c r="O312" t="s">
        <v>23</v>
      </c>
      <c r="P312" t="s">
        <v>29</v>
      </c>
      <c r="Q312" t="s">
        <v>24</v>
      </c>
      <c r="R312" t="s">
        <v>23</v>
      </c>
      <c r="S312" t="s">
        <v>29</v>
      </c>
      <c r="T312" t="str">
        <f t="shared" si="8"/>
        <v>low risk</v>
      </c>
      <c r="U312" t="str">
        <f t="shared" si="9"/>
        <v>average</v>
      </c>
    </row>
    <row r="313" spans="1:21">
      <c r="A313" t="s">
        <v>349</v>
      </c>
      <c r="B313">
        <v>52</v>
      </c>
      <c r="C313">
        <v>176426</v>
      </c>
      <c r="D313">
        <v>320</v>
      </c>
      <c r="E313">
        <v>0.392013108092229</v>
      </c>
      <c r="F313">
        <v>3</v>
      </c>
      <c r="G313">
        <v>1</v>
      </c>
      <c r="H313">
        <v>31674</v>
      </c>
      <c r="I313">
        <v>0.27750267007116802</v>
      </c>
      <c r="J313" t="s">
        <v>43</v>
      </c>
      <c r="K313">
        <v>6</v>
      </c>
      <c r="L313" t="s">
        <v>45</v>
      </c>
      <c r="M313" t="s">
        <v>32</v>
      </c>
      <c r="N313" t="s">
        <v>24</v>
      </c>
      <c r="O313" t="s">
        <v>23</v>
      </c>
      <c r="P313" t="s">
        <v>24</v>
      </c>
      <c r="Q313" t="s">
        <v>24</v>
      </c>
      <c r="R313" t="s">
        <v>23</v>
      </c>
      <c r="S313" t="s">
        <v>24</v>
      </c>
      <c r="T313" t="str">
        <f t="shared" si="8"/>
        <v>High risk</v>
      </c>
      <c r="U313" t="str">
        <f t="shared" si="9"/>
        <v>poor</v>
      </c>
    </row>
    <row r="314" spans="1:21">
      <c r="A314" t="s">
        <v>350</v>
      </c>
      <c r="B314">
        <v>24</v>
      </c>
      <c r="C314">
        <v>194208</v>
      </c>
      <c r="D314">
        <v>321</v>
      </c>
      <c r="E314">
        <v>0.48734217577220701</v>
      </c>
      <c r="F314">
        <v>4</v>
      </c>
      <c r="G314">
        <v>0</v>
      </c>
      <c r="H314">
        <v>62253</v>
      </c>
      <c r="I314">
        <v>0.36362373753789201</v>
      </c>
      <c r="J314" t="s">
        <v>34</v>
      </c>
      <c r="K314">
        <v>18</v>
      </c>
      <c r="L314" t="s">
        <v>37</v>
      </c>
      <c r="M314" t="s">
        <v>53</v>
      </c>
      <c r="N314" t="s">
        <v>24</v>
      </c>
      <c r="O314" t="s">
        <v>29</v>
      </c>
      <c r="P314" t="s">
        <v>29</v>
      </c>
      <c r="Q314" t="s">
        <v>29</v>
      </c>
      <c r="R314" t="s">
        <v>23</v>
      </c>
      <c r="S314" t="s">
        <v>23</v>
      </c>
      <c r="T314" t="str">
        <f t="shared" si="8"/>
        <v>Medium risk</v>
      </c>
      <c r="U314" t="str">
        <f t="shared" si="9"/>
        <v>average</v>
      </c>
    </row>
    <row r="315" spans="1:21">
      <c r="A315" t="s">
        <v>351</v>
      </c>
      <c r="B315">
        <v>33</v>
      </c>
      <c r="C315">
        <v>181267</v>
      </c>
      <c r="D315">
        <v>494</v>
      </c>
      <c r="E315">
        <v>0.95417305620710902</v>
      </c>
      <c r="F315">
        <v>6</v>
      </c>
      <c r="G315">
        <v>0</v>
      </c>
      <c r="H315">
        <v>15938</v>
      </c>
      <c r="I315">
        <v>0.24893047302458299</v>
      </c>
      <c r="J315" t="s">
        <v>50</v>
      </c>
      <c r="K315">
        <v>2</v>
      </c>
      <c r="L315" t="s">
        <v>45</v>
      </c>
      <c r="M315" t="s">
        <v>32</v>
      </c>
      <c r="N315" t="s">
        <v>29</v>
      </c>
      <c r="O315" t="s">
        <v>24</v>
      </c>
      <c r="P315" t="s">
        <v>23</v>
      </c>
      <c r="Q315" t="s">
        <v>29</v>
      </c>
      <c r="R315" t="s">
        <v>23</v>
      </c>
      <c r="S315" t="s">
        <v>29</v>
      </c>
      <c r="T315" t="str">
        <f t="shared" si="8"/>
        <v>Medium risk</v>
      </c>
      <c r="U315" t="str">
        <f t="shared" si="9"/>
        <v>average</v>
      </c>
    </row>
    <row r="316" spans="1:21">
      <c r="A316" t="s">
        <v>352</v>
      </c>
      <c r="B316">
        <v>43</v>
      </c>
      <c r="C316">
        <v>77292</v>
      </c>
      <c r="D316">
        <v>316</v>
      </c>
      <c r="E316">
        <v>0.60902434951778595</v>
      </c>
      <c r="F316">
        <v>3</v>
      </c>
      <c r="G316">
        <v>0</v>
      </c>
      <c r="H316">
        <v>612</v>
      </c>
      <c r="I316">
        <v>0.28807375264097501</v>
      </c>
      <c r="J316" t="s">
        <v>40</v>
      </c>
      <c r="K316">
        <v>10</v>
      </c>
      <c r="L316" t="s">
        <v>37</v>
      </c>
      <c r="M316" t="s">
        <v>32</v>
      </c>
      <c r="N316" t="s">
        <v>23</v>
      </c>
      <c r="O316" t="s">
        <v>23</v>
      </c>
      <c r="P316" t="s">
        <v>24</v>
      </c>
      <c r="Q316" t="s">
        <v>24</v>
      </c>
      <c r="R316" t="s">
        <v>23</v>
      </c>
      <c r="S316" t="s">
        <v>23</v>
      </c>
      <c r="T316" t="str">
        <f t="shared" si="8"/>
        <v>Medium risk</v>
      </c>
      <c r="U316" t="str">
        <f t="shared" si="9"/>
        <v>average</v>
      </c>
    </row>
    <row r="317" spans="1:21">
      <c r="A317" t="s">
        <v>353</v>
      </c>
      <c r="B317">
        <v>65</v>
      </c>
      <c r="C317">
        <v>32019</v>
      </c>
      <c r="D317">
        <v>419</v>
      </c>
      <c r="E317">
        <v>0.31131689699832399</v>
      </c>
      <c r="F317">
        <v>4</v>
      </c>
      <c r="G317">
        <v>0</v>
      </c>
      <c r="H317">
        <v>13355</v>
      </c>
      <c r="I317">
        <v>0.32735938163394401</v>
      </c>
      <c r="J317" t="s">
        <v>34</v>
      </c>
      <c r="K317">
        <v>19</v>
      </c>
      <c r="L317" t="s">
        <v>31</v>
      </c>
      <c r="M317" t="s">
        <v>22</v>
      </c>
      <c r="N317" t="s">
        <v>23</v>
      </c>
      <c r="O317" t="s">
        <v>29</v>
      </c>
      <c r="P317" t="s">
        <v>23</v>
      </c>
      <c r="Q317" t="s">
        <v>29</v>
      </c>
      <c r="R317" t="s">
        <v>29</v>
      </c>
      <c r="S317" t="s">
        <v>29</v>
      </c>
      <c r="T317" t="str">
        <f t="shared" si="8"/>
        <v>Medium risk</v>
      </c>
      <c r="U317" t="str">
        <f t="shared" si="9"/>
        <v>good</v>
      </c>
    </row>
    <row r="318" spans="1:21">
      <c r="A318" t="s">
        <v>354</v>
      </c>
      <c r="B318">
        <v>74</v>
      </c>
      <c r="C318">
        <v>102235</v>
      </c>
      <c r="D318">
        <v>557</v>
      </c>
      <c r="E318">
        <v>0.56075606189810101</v>
      </c>
      <c r="F318">
        <v>0</v>
      </c>
      <c r="G318">
        <v>0</v>
      </c>
      <c r="H318">
        <v>10778</v>
      </c>
      <c r="I318">
        <v>0.20951080739521299</v>
      </c>
      <c r="J318" t="s">
        <v>43</v>
      </c>
      <c r="K318">
        <v>18</v>
      </c>
      <c r="L318" t="s">
        <v>37</v>
      </c>
      <c r="M318" t="s">
        <v>22</v>
      </c>
      <c r="N318" t="s">
        <v>29</v>
      </c>
      <c r="O318" t="s">
        <v>29</v>
      </c>
      <c r="P318" t="s">
        <v>23</v>
      </c>
      <c r="Q318" t="s">
        <v>24</v>
      </c>
      <c r="R318" t="s">
        <v>24</v>
      </c>
      <c r="S318" t="s">
        <v>29</v>
      </c>
      <c r="T318" t="str">
        <f t="shared" si="8"/>
        <v>low risk</v>
      </c>
      <c r="U318" t="str">
        <f t="shared" si="9"/>
        <v>average</v>
      </c>
    </row>
    <row r="319" spans="1:21">
      <c r="A319" t="s">
        <v>355</v>
      </c>
      <c r="B319">
        <v>69</v>
      </c>
      <c r="C319">
        <v>120891</v>
      </c>
      <c r="D319">
        <v>749</v>
      </c>
      <c r="E319">
        <v>0.224661691872383</v>
      </c>
      <c r="F319">
        <v>0</v>
      </c>
      <c r="G319">
        <v>1</v>
      </c>
      <c r="H319">
        <v>66118</v>
      </c>
      <c r="I319">
        <v>0.20318917116708801</v>
      </c>
      <c r="J319" t="s">
        <v>26</v>
      </c>
      <c r="K319">
        <v>8</v>
      </c>
      <c r="L319" t="s">
        <v>21</v>
      </c>
      <c r="M319" t="s">
        <v>53</v>
      </c>
      <c r="N319" t="s">
        <v>29</v>
      </c>
      <c r="O319" t="s">
        <v>23</v>
      </c>
      <c r="P319" t="s">
        <v>29</v>
      </c>
      <c r="Q319" t="s">
        <v>29</v>
      </c>
      <c r="R319" t="s">
        <v>24</v>
      </c>
      <c r="S319" t="s">
        <v>23</v>
      </c>
      <c r="T319" t="str">
        <f t="shared" si="8"/>
        <v>High risk</v>
      </c>
      <c r="U319" t="str">
        <f t="shared" si="9"/>
        <v>average</v>
      </c>
    </row>
    <row r="320" spans="1:21">
      <c r="A320" t="s">
        <v>356</v>
      </c>
      <c r="B320">
        <v>66</v>
      </c>
      <c r="C320">
        <v>33017</v>
      </c>
      <c r="D320">
        <v>625</v>
      </c>
      <c r="E320">
        <v>0.64359806198323399</v>
      </c>
      <c r="F320">
        <v>6</v>
      </c>
      <c r="G320">
        <v>0</v>
      </c>
      <c r="H320">
        <v>30443</v>
      </c>
      <c r="I320">
        <v>0.28417361185959999</v>
      </c>
      <c r="J320" t="s">
        <v>50</v>
      </c>
      <c r="K320">
        <v>9</v>
      </c>
      <c r="L320" t="s">
        <v>45</v>
      </c>
      <c r="M320" t="s">
        <v>28</v>
      </c>
      <c r="N320" t="s">
        <v>24</v>
      </c>
      <c r="O320" t="s">
        <v>24</v>
      </c>
      <c r="P320" t="s">
        <v>24</v>
      </c>
      <c r="Q320" t="s">
        <v>23</v>
      </c>
      <c r="R320" t="s">
        <v>29</v>
      </c>
      <c r="S320" t="s">
        <v>29</v>
      </c>
      <c r="T320" t="str">
        <f t="shared" si="8"/>
        <v>Medium risk</v>
      </c>
      <c r="U320" t="str">
        <f t="shared" si="9"/>
        <v>poor</v>
      </c>
    </row>
    <row r="321" spans="1:21">
      <c r="A321" t="s">
        <v>357</v>
      </c>
      <c r="B321">
        <v>19</v>
      </c>
      <c r="C321">
        <v>53765</v>
      </c>
      <c r="D321">
        <v>446</v>
      </c>
      <c r="E321">
        <v>0.83510947870889696</v>
      </c>
      <c r="F321">
        <v>3</v>
      </c>
      <c r="G321">
        <v>1</v>
      </c>
      <c r="H321">
        <v>86846</v>
      </c>
      <c r="I321">
        <v>0.29741788149516402</v>
      </c>
      <c r="J321" t="s">
        <v>40</v>
      </c>
      <c r="K321">
        <v>1</v>
      </c>
      <c r="L321" t="s">
        <v>27</v>
      </c>
      <c r="M321" t="s">
        <v>22</v>
      </c>
      <c r="N321" t="s">
        <v>23</v>
      </c>
      <c r="O321" t="s">
        <v>24</v>
      </c>
      <c r="P321" t="s">
        <v>29</v>
      </c>
      <c r="Q321" t="s">
        <v>29</v>
      </c>
      <c r="R321" t="s">
        <v>24</v>
      </c>
      <c r="S321" t="s">
        <v>29</v>
      </c>
      <c r="T321" t="str">
        <f t="shared" si="8"/>
        <v>High risk</v>
      </c>
      <c r="U321" t="str">
        <f t="shared" si="9"/>
        <v>average</v>
      </c>
    </row>
    <row r="322" spans="1:21">
      <c r="A322" t="s">
        <v>358</v>
      </c>
      <c r="B322">
        <v>18</v>
      </c>
      <c r="C322">
        <v>53513</v>
      </c>
      <c r="D322">
        <v>391</v>
      </c>
      <c r="E322">
        <v>0.83595833701679101</v>
      </c>
      <c r="F322">
        <v>2</v>
      </c>
      <c r="G322">
        <v>0</v>
      </c>
      <c r="H322">
        <v>82382</v>
      </c>
      <c r="I322">
        <v>0.343388548000164</v>
      </c>
      <c r="J322" t="s">
        <v>34</v>
      </c>
      <c r="K322">
        <v>0</v>
      </c>
      <c r="L322" t="s">
        <v>27</v>
      </c>
      <c r="M322" t="s">
        <v>28</v>
      </c>
      <c r="N322" t="s">
        <v>24</v>
      </c>
      <c r="O322" t="s">
        <v>29</v>
      </c>
      <c r="P322" t="s">
        <v>23</v>
      </c>
      <c r="Q322" t="s">
        <v>24</v>
      </c>
      <c r="R322" t="s">
        <v>24</v>
      </c>
      <c r="S322" t="s">
        <v>23</v>
      </c>
      <c r="T322" t="str">
        <f t="shared" si="8"/>
        <v>Medium risk</v>
      </c>
      <c r="U322" t="str">
        <f t="shared" si="9"/>
        <v>poor</v>
      </c>
    </row>
    <row r="323" spans="1:21">
      <c r="A323" t="s">
        <v>359</v>
      </c>
      <c r="B323">
        <v>65</v>
      </c>
      <c r="C323">
        <v>184160</v>
      </c>
      <c r="D323">
        <v>316</v>
      </c>
      <c r="E323">
        <v>0.64697870069486696</v>
      </c>
      <c r="F323">
        <v>4</v>
      </c>
      <c r="G323">
        <v>0</v>
      </c>
      <c r="H323">
        <v>95303</v>
      </c>
      <c r="I323">
        <v>0.367188657495155</v>
      </c>
      <c r="J323" t="s">
        <v>50</v>
      </c>
      <c r="K323">
        <v>15</v>
      </c>
      <c r="L323" t="s">
        <v>45</v>
      </c>
      <c r="M323" t="s">
        <v>38</v>
      </c>
      <c r="N323" t="s">
        <v>23</v>
      </c>
      <c r="O323" t="s">
        <v>29</v>
      </c>
      <c r="P323" t="s">
        <v>29</v>
      </c>
      <c r="Q323" t="s">
        <v>23</v>
      </c>
      <c r="R323" t="s">
        <v>23</v>
      </c>
      <c r="S323" t="s">
        <v>29</v>
      </c>
      <c r="T323" t="str">
        <f t="shared" ref="T323:T386" si="10">IF(G323=1,"High risk", IF(F323&gt;= 2, "Medium risk", "low risk"))</f>
        <v>Medium risk</v>
      </c>
      <c r="U323" t="str">
        <f t="shared" ref="U323:U386" si="11">IF(COUNTIF(N323:S323,"Missed") &gt;= 3, "poor", IF(COUNTIF(N323:S323,"Missed") &gt;= 1, "average", "good"))</f>
        <v>good</v>
      </c>
    </row>
    <row r="324" spans="1:21">
      <c r="A324" t="s">
        <v>360</v>
      </c>
      <c r="B324">
        <v>29</v>
      </c>
      <c r="C324">
        <v>70393</v>
      </c>
      <c r="D324">
        <v>715</v>
      </c>
      <c r="E324">
        <v>0.38331752882637399</v>
      </c>
      <c r="F324">
        <v>1</v>
      </c>
      <c r="G324">
        <v>0</v>
      </c>
      <c r="H324">
        <v>87110</v>
      </c>
      <c r="I324">
        <v>0.190093717942835</v>
      </c>
      <c r="J324" t="s">
        <v>20</v>
      </c>
      <c r="K324">
        <v>17</v>
      </c>
      <c r="L324" t="s">
        <v>31</v>
      </c>
      <c r="M324" t="s">
        <v>22</v>
      </c>
      <c r="N324" t="s">
        <v>24</v>
      </c>
      <c r="O324" t="s">
        <v>29</v>
      </c>
      <c r="P324" t="s">
        <v>24</v>
      </c>
      <c r="Q324" t="s">
        <v>24</v>
      </c>
      <c r="R324" t="s">
        <v>24</v>
      </c>
      <c r="S324" t="s">
        <v>29</v>
      </c>
      <c r="T324" t="str">
        <f t="shared" si="10"/>
        <v>low risk</v>
      </c>
      <c r="U324" t="str">
        <f t="shared" si="11"/>
        <v>poor</v>
      </c>
    </row>
    <row r="325" spans="1:21">
      <c r="A325" t="s">
        <v>361</v>
      </c>
      <c r="B325">
        <v>22</v>
      </c>
      <c r="C325">
        <v>193352</v>
      </c>
      <c r="D325">
        <v>471</v>
      </c>
      <c r="E325">
        <v>0.23981964869717401</v>
      </c>
      <c r="F325">
        <v>3</v>
      </c>
      <c r="G325">
        <v>0</v>
      </c>
      <c r="H325">
        <v>80430</v>
      </c>
      <c r="I325">
        <v>0.21879150680564299</v>
      </c>
      <c r="J325" t="s">
        <v>26</v>
      </c>
      <c r="K325">
        <v>16</v>
      </c>
      <c r="L325" t="s">
        <v>37</v>
      </c>
      <c r="M325" t="s">
        <v>22</v>
      </c>
      <c r="N325" t="s">
        <v>29</v>
      </c>
      <c r="O325" t="s">
        <v>29</v>
      </c>
      <c r="P325" t="s">
        <v>29</v>
      </c>
      <c r="Q325" t="s">
        <v>29</v>
      </c>
      <c r="R325" t="s">
        <v>24</v>
      </c>
      <c r="S325" t="s">
        <v>29</v>
      </c>
      <c r="T325" t="str">
        <f t="shared" si="10"/>
        <v>Medium risk</v>
      </c>
      <c r="U325" t="str">
        <f t="shared" si="11"/>
        <v>average</v>
      </c>
    </row>
    <row r="326" spans="1:21">
      <c r="A326" t="s">
        <v>362</v>
      </c>
      <c r="B326">
        <v>54</v>
      </c>
      <c r="C326">
        <v>137402</v>
      </c>
      <c r="D326">
        <v>358</v>
      </c>
      <c r="E326">
        <v>0.21995899132617799</v>
      </c>
      <c r="F326">
        <v>1</v>
      </c>
      <c r="G326">
        <v>0</v>
      </c>
      <c r="H326">
        <v>32615</v>
      </c>
      <c r="I326">
        <v>0.20292477124368899</v>
      </c>
      <c r="J326" t="s">
        <v>34</v>
      </c>
      <c r="K326">
        <v>5</v>
      </c>
      <c r="L326" t="s">
        <v>31</v>
      </c>
      <c r="M326" t="s">
        <v>53</v>
      </c>
      <c r="N326" t="s">
        <v>24</v>
      </c>
      <c r="O326" t="s">
        <v>29</v>
      </c>
      <c r="P326" t="s">
        <v>24</v>
      </c>
      <c r="Q326" t="s">
        <v>23</v>
      </c>
      <c r="R326" t="s">
        <v>29</v>
      </c>
      <c r="S326" t="s">
        <v>23</v>
      </c>
      <c r="T326" t="str">
        <f t="shared" si="10"/>
        <v>low risk</v>
      </c>
      <c r="U326" t="str">
        <f t="shared" si="11"/>
        <v>average</v>
      </c>
    </row>
    <row r="327" spans="1:21">
      <c r="A327" t="s">
        <v>363</v>
      </c>
      <c r="B327">
        <v>49</v>
      </c>
      <c r="C327">
        <v>18709</v>
      </c>
      <c r="D327">
        <v>534</v>
      </c>
      <c r="E327">
        <v>0.05</v>
      </c>
      <c r="F327">
        <v>3</v>
      </c>
      <c r="G327">
        <v>0</v>
      </c>
      <c r="H327">
        <v>62561</v>
      </c>
      <c r="I327">
        <v>0.441244740159142</v>
      </c>
      <c r="J327" t="s">
        <v>20</v>
      </c>
      <c r="K327">
        <v>13</v>
      </c>
      <c r="L327" t="s">
        <v>27</v>
      </c>
      <c r="M327" t="s">
        <v>28</v>
      </c>
      <c r="N327" t="s">
        <v>29</v>
      </c>
      <c r="O327" t="s">
        <v>24</v>
      </c>
      <c r="P327" t="s">
        <v>29</v>
      </c>
      <c r="Q327" t="s">
        <v>24</v>
      </c>
      <c r="R327" t="s">
        <v>24</v>
      </c>
      <c r="S327" t="s">
        <v>24</v>
      </c>
      <c r="T327" t="str">
        <f t="shared" si="10"/>
        <v>Medium risk</v>
      </c>
      <c r="U327" t="str">
        <f t="shared" si="11"/>
        <v>poor</v>
      </c>
    </row>
    <row r="328" spans="1:21">
      <c r="A328" t="s">
        <v>364</v>
      </c>
      <c r="B328">
        <v>72</v>
      </c>
      <c r="C328">
        <v>153311</v>
      </c>
      <c r="D328">
        <v>696</v>
      </c>
      <c r="E328">
        <v>0.63877115260158401</v>
      </c>
      <c r="F328">
        <v>2</v>
      </c>
      <c r="G328">
        <v>0</v>
      </c>
      <c r="H328">
        <v>3081</v>
      </c>
      <c r="I328">
        <v>0.28797294097974602</v>
      </c>
      <c r="J328" t="s">
        <v>43</v>
      </c>
      <c r="K328">
        <v>14</v>
      </c>
      <c r="L328" t="s">
        <v>45</v>
      </c>
      <c r="M328" t="s">
        <v>22</v>
      </c>
      <c r="N328" t="s">
        <v>23</v>
      </c>
      <c r="O328" t="s">
        <v>23</v>
      </c>
      <c r="P328" t="s">
        <v>24</v>
      </c>
      <c r="Q328" t="s">
        <v>29</v>
      </c>
      <c r="R328" t="s">
        <v>24</v>
      </c>
      <c r="S328" t="s">
        <v>23</v>
      </c>
      <c r="T328" t="str">
        <f t="shared" si="10"/>
        <v>Medium risk</v>
      </c>
      <c r="U328" t="str">
        <f t="shared" si="11"/>
        <v>average</v>
      </c>
    </row>
    <row r="329" spans="1:21">
      <c r="A329" t="s">
        <v>365</v>
      </c>
      <c r="B329">
        <v>26</v>
      </c>
      <c r="C329">
        <v>106267</v>
      </c>
      <c r="D329">
        <v>471</v>
      </c>
      <c r="E329">
        <v>0.47943289595512001</v>
      </c>
      <c r="F329">
        <v>2</v>
      </c>
      <c r="G329">
        <v>0</v>
      </c>
      <c r="H329">
        <v>43927</v>
      </c>
      <c r="I329">
        <v>0.30161292952450203</v>
      </c>
      <c r="J329" t="s">
        <v>20</v>
      </c>
      <c r="K329">
        <v>13</v>
      </c>
      <c r="L329" t="s">
        <v>45</v>
      </c>
      <c r="M329" t="s">
        <v>22</v>
      </c>
      <c r="N329" t="s">
        <v>24</v>
      </c>
      <c r="O329" t="s">
        <v>24</v>
      </c>
      <c r="P329" t="s">
        <v>24</v>
      </c>
      <c r="Q329" t="s">
        <v>23</v>
      </c>
      <c r="R329" t="s">
        <v>24</v>
      </c>
      <c r="S329" t="s">
        <v>24</v>
      </c>
      <c r="T329" t="str">
        <f t="shared" si="10"/>
        <v>Medium risk</v>
      </c>
      <c r="U329" t="str">
        <f t="shared" si="11"/>
        <v>poor</v>
      </c>
    </row>
    <row r="330" spans="1:21">
      <c r="A330" t="s">
        <v>366</v>
      </c>
      <c r="B330">
        <v>58</v>
      </c>
      <c r="C330">
        <v>179506</v>
      </c>
      <c r="D330">
        <v>461</v>
      </c>
      <c r="E330">
        <v>0.68184323329062502</v>
      </c>
      <c r="F330">
        <v>6</v>
      </c>
      <c r="G330">
        <v>0</v>
      </c>
      <c r="H330">
        <v>32615</v>
      </c>
      <c r="I330">
        <v>0.30577743640135102</v>
      </c>
      <c r="J330" t="s">
        <v>34</v>
      </c>
      <c r="K330">
        <v>2</v>
      </c>
      <c r="L330" t="s">
        <v>31</v>
      </c>
      <c r="M330" t="s">
        <v>53</v>
      </c>
      <c r="N330" t="s">
        <v>29</v>
      </c>
      <c r="O330" t="s">
        <v>24</v>
      </c>
      <c r="P330" t="s">
        <v>23</v>
      </c>
      <c r="Q330" t="s">
        <v>24</v>
      </c>
      <c r="R330" t="s">
        <v>29</v>
      </c>
      <c r="S330" t="s">
        <v>23</v>
      </c>
      <c r="T330" t="str">
        <f t="shared" si="10"/>
        <v>Medium risk</v>
      </c>
      <c r="U330" t="str">
        <f t="shared" si="11"/>
        <v>average</v>
      </c>
    </row>
    <row r="331" spans="1:21">
      <c r="A331" t="s">
        <v>367</v>
      </c>
      <c r="B331">
        <v>52</v>
      </c>
      <c r="C331">
        <v>26174</v>
      </c>
      <c r="D331">
        <v>556</v>
      </c>
      <c r="E331">
        <v>0.78560629704695695</v>
      </c>
      <c r="F331">
        <v>6</v>
      </c>
      <c r="G331">
        <v>0</v>
      </c>
      <c r="H331">
        <v>92183</v>
      </c>
      <c r="I331">
        <v>0.22843299862823599</v>
      </c>
      <c r="J331" t="s">
        <v>34</v>
      </c>
      <c r="K331">
        <v>18</v>
      </c>
      <c r="L331" t="s">
        <v>31</v>
      </c>
      <c r="M331" t="s">
        <v>53</v>
      </c>
      <c r="N331" t="s">
        <v>23</v>
      </c>
      <c r="O331" t="s">
        <v>29</v>
      </c>
      <c r="P331" t="s">
        <v>29</v>
      </c>
      <c r="Q331" t="s">
        <v>23</v>
      </c>
      <c r="R331" t="s">
        <v>29</v>
      </c>
      <c r="S331" t="s">
        <v>29</v>
      </c>
      <c r="T331" t="str">
        <f t="shared" si="10"/>
        <v>Medium risk</v>
      </c>
      <c r="U331" t="str">
        <f t="shared" si="11"/>
        <v>good</v>
      </c>
    </row>
    <row r="332" spans="1:21">
      <c r="A332" t="s">
        <v>368</v>
      </c>
      <c r="B332">
        <v>36</v>
      </c>
      <c r="C332">
        <v>43251</v>
      </c>
      <c r="D332">
        <v>644</v>
      </c>
      <c r="E332">
        <v>0.51998110878048198</v>
      </c>
      <c r="F332">
        <v>2</v>
      </c>
      <c r="G332">
        <v>0</v>
      </c>
      <c r="H332">
        <v>39259</v>
      </c>
      <c r="I332">
        <v>0.45642695189460297</v>
      </c>
      <c r="J332" t="s">
        <v>43</v>
      </c>
      <c r="K332">
        <v>11</v>
      </c>
      <c r="L332" t="s">
        <v>37</v>
      </c>
      <c r="M332" t="s">
        <v>28</v>
      </c>
      <c r="N332" t="s">
        <v>29</v>
      </c>
      <c r="O332" t="s">
        <v>24</v>
      </c>
      <c r="P332" t="s">
        <v>24</v>
      </c>
      <c r="Q332" t="s">
        <v>29</v>
      </c>
      <c r="R332" t="s">
        <v>24</v>
      </c>
      <c r="S332" t="s">
        <v>23</v>
      </c>
      <c r="T332" t="str">
        <f t="shared" si="10"/>
        <v>Medium risk</v>
      </c>
      <c r="U332" t="str">
        <f t="shared" si="11"/>
        <v>poor</v>
      </c>
    </row>
    <row r="333" spans="1:21">
      <c r="A333" t="s">
        <v>369</v>
      </c>
      <c r="B333">
        <v>65</v>
      </c>
      <c r="C333">
        <v>81234</v>
      </c>
      <c r="D333">
        <v>326</v>
      </c>
      <c r="E333">
        <v>0.52919232194263</v>
      </c>
      <c r="F333">
        <v>5</v>
      </c>
      <c r="G333">
        <v>0</v>
      </c>
      <c r="H333">
        <v>17023</v>
      </c>
      <c r="I333">
        <v>0.34110266548187201</v>
      </c>
      <c r="J333" t="s">
        <v>20</v>
      </c>
      <c r="K333">
        <v>1</v>
      </c>
      <c r="L333" t="s">
        <v>21</v>
      </c>
      <c r="M333" t="s">
        <v>38</v>
      </c>
      <c r="N333" t="s">
        <v>29</v>
      </c>
      <c r="O333" t="s">
        <v>23</v>
      </c>
      <c r="P333" t="s">
        <v>23</v>
      </c>
      <c r="Q333" t="s">
        <v>23</v>
      </c>
      <c r="R333" t="s">
        <v>24</v>
      </c>
      <c r="S333" t="s">
        <v>29</v>
      </c>
      <c r="T333" t="str">
        <f t="shared" si="10"/>
        <v>Medium risk</v>
      </c>
      <c r="U333" t="str">
        <f t="shared" si="11"/>
        <v>average</v>
      </c>
    </row>
    <row r="334" spans="1:21">
      <c r="A334" t="s">
        <v>370</v>
      </c>
      <c r="B334">
        <v>33</v>
      </c>
      <c r="C334">
        <v>85640</v>
      </c>
      <c r="D334">
        <v>522</v>
      </c>
      <c r="E334">
        <v>0.407135931100506</v>
      </c>
      <c r="F334">
        <v>2</v>
      </c>
      <c r="G334">
        <v>0</v>
      </c>
      <c r="H334">
        <v>80150</v>
      </c>
      <c r="I334">
        <v>0.30395905297779402</v>
      </c>
      <c r="J334" t="s">
        <v>20</v>
      </c>
      <c r="K334">
        <v>2</v>
      </c>
      <c r="L334" t="s">
        <v>21</v>
      </c>
      <c r="M334" t="s">
        <v>38</v>
      </c>
      <c r="N334" t="s">
        <v>24</v>
      </c>
      <c r="O334" t="s">
        <v>23</v>
      </c>
      <c r="P334" t="s">
        <v>23</v>
      </c>
      <c r="Q334" t="s">
        <v>24</v>
      </c>
      <c r="R334" t="s">
        <v>29</v>
      </c>
      <c r="S334" t="s">
        <v>23</v>
      </c>
      <c r="T334" t="str">
        <f t="shared" si="10"/>
        <v>Medium risk</v>
      </c>
      <c r="U334" t="str">
        <f t="shared" si="11"/>
        <v>average</v>
      </c>
    </row>
    <row r="335" spans="1:21">
      <c r="A335" t="s">
        <v>371</v>
      </c>
      <c r="B335">
        <v>20</v>
      </c>
      <c r="C335">
        <v>67638</v>
      </c>
      <c r="D335">
        <v>498</v>
      </c>
      <c r="E335">
        <v>0.43078311656551799</v>
      </c>
      <c r="F335">
        <v>0</v>
      </c>
      <c r="G335">
        <v>0</v>
      </c>
      <c r="H335">
        <v>27446</v>
      </c>
      <c r="I335">
        <v>0.18947435788494299</v>
      </c>
      <c r="J335" t="s">
        <v>43</v>
      </c>
      <c r="K335">
        <v>17</v>
      </c>
      <c r="L335" t="s">
        <v>37</v>
      </c>
      <c r="M335" t="s">
        <v>32</v>
      </c>
      <c r="N335" t="s">
        <v>24</v>
      </c>
      <c r="O335" t="s">
        <v>23</v>
      </c>
      <c r="P335" t="s">
        <v>29</v>
      </c>
      <c r="Q335" t="s">
        <v>29</v>
      </c>
      <c r="R335" t="s">
        <v>29</v>
      </c>
      <c r="S335" t="s">
        <v>24</v>
      </c>
      <c r="T335" t="str">
        <f t="shared" si="10"/>
        <v>low risk</v>
      </c>
      <c r="U335" t="str">
        <f t="shared" si="11"/>
        <v>average</v>
      </c>
    </row>
    <row r="336" spans="1:21">
      <c r="A336" t="s">
        <v>372</v>
      </c>
      <c r="B336">
        <v>37</v>
      </c>
      <c r="C336">
        <v>81234</v>
      </c>
      <c r="D336">
        <v>339</v>
      </c>
      <c r="E336">
        <v>0.64569398249458598</v>
      </c>
      <c r="F336">
        <v>0</v>
      </c>
      <c r="G336">
        <v>1</v>
      </c>
      <c r="H336">
        <v>91557</v>
      </c>
      <c r="I336">
        <v>0.183806750834375</v>
      </c>
      <c r="J336" t="s">
        <v>20</v>
      </c>
      <c r="K336">
        <v>0</v>
      </c>
      <c r="L336" t="s">
        <v>21</v>
      </c>
      <c r="M336" t="s">
        <v>22</v>
      </c>
      <c r="N336" t="s">
        <v>29</v>
      </c>
      <c r="O336" t="s">
        <v>29</v>
      </c>
      <c r="P336" t="s">
        <v>23</v>
      </c>
      <c r="Q336" t="s">
        <v>29</v>
      </c>
      <c r="R336" t="s">
        <v>24</v>
      </c>
      <c r="S336" t="s">
        <v>23</v>
      </c>
      <c r="T336" t="str">
        <f t="shared" si="10"/>
        <v>High risk</v>
      </c>
      <c r="U336" t="str">
        <f t="shared" si="11"/>
        <v>average</v>
      </c>
    </row>
    <row r="337" spans="1:21">
      <c r="A337" t="s">
        <v>373</v>
      </c>
      <c r="B337">
        <v>41</v>
      </c>
      <c r="C337">
        <v>159356</v>
      </c>
      <c r="D337">
        <v>658</v>
      </c>
      <c r="E337">
        <v>0.46512499392693701</v>
      </c>
      <c r="F337">
        <v>5</v>
      </c>
      <c r="G337">
        <v>0</v>
      </c>
      <c r="H337">
        <v>44449</v>
      </c>
      <c r="I337">
        <v>0.269109246839423</v>
      </c>
      <c r="J337" t="s">
        <v>50</v>
      </c>
      <c r="K337">
        <v>19</v>
      </c>
      <c r="L337" t="s">
        <v>27</v>
      </c>
      <c r="M337" t="s">
        <v>28</v>
      </c>
      <c r="N337" t="s">
        <v>24</v>
      </c>
      <c r="O337" t="s">
        <v>24</v>
      </c>
      <c r="P337" t="s">
        <v>23</v>
      </c>
      <c r="Q337" t="s">
        <v>24</v>
      </c>
      <c r="R337" t="s">
        <v>24</v>
      </c>
      <c r="S337" t="s">
        <v>23</v>
      </c>
      <c r="T337" t="str">
        <f t="shared" si="10"/>
        <v>Medium risk</v>
      </c>
      <c r="U337" t="str">
        <f t="shared" si="11"/>
        <v>poor</v>
      </c>
    </row>
    <row r="338" spans="1:21">
      <c r="A338" t="s">
        <v>374</v>
      </c>
      <c r="B338">
        <v>71</v>
      </c>
      <c r="C338">
        <v>150230</v>
      </c>
      <c r="D338">
        <v>627</v>
      </c>
      <c r="E338">
        <v>0.43619846664943501</v>
      </c>
      <c r="F338">
        <v>4</v>
      </c>
      <c r="G338">
        <v>1</v>
      </c>
      <c r="H338">
        <v>31316</v>
      </c>
      <c r="I338">
        <v>0.23000082064281699</v>
      </c>
      <c r="J338" t="s">
        <v>43</v>
      </c>
      <c r="K338">
        <v>5</v>
      </c>
      <c r="L338" t="s">
        <v>21</v>
      </c>
      <c r="M338" t="s">
        <v>22</v>
      </c>
      <c r="N338" t="s">
        <v>29</v>
      </c>
      <c r="O338" t="s">
        <v>23</v>
      </c>
      <c r="P338" t="s">
        <v>29</v>
      </c>
      <c r="Q338" t="s">
        <v>29</v>
      </c>
      <c r="R338" t="s">
        <v>29</v>
      </c>
      <c r="S338" t="s">
        <v>23</v>
      </c>
      <c r="T338" t="str">
        <f t="shared" si="10"/>
        <v>High risk</v>
      </c>
      <c r="U338" t="str">
        <f t="shared" si="11"/>
        <v>good</v>
      </c>
    </row>
    <row r="339" spans="1:21">
      <c r="A339" t="s">
        <v>375</v>
      </c>
      <c r="B339">
        <v>73</v>
      </c>
      <c r="C339">
        <v>120570</v>
      </c>
      <c r="D339">
        <v>820</v>
      </c>
      <c r="E339">
        <v>0.49633662811142898</v>
      </c>
      <c r="F339">
        <v>1</v>
      </c>
      <c r="G339">
        <v>0</v>
      </c>
      <c r="H339">
        <v>61186</v>
      </c>
      <c r="I339">
        <v>0.193255565445344</v>
      </c>
      <c r="J339" t="s">
        <v>26</v>
      </c>
      <c r="K339">
        <v>4</v>
      </c>
      <c r="L339" t="s">
        <v>37</v>
      </c>
      <c r="M339" t="s">
        <v>28</v>
      </c>
      <c r="N339" t="s">
        <v>29</v>
      </c>
      <c r="O339" t="s">
        <v>24</v>
      </c>
      <c r="P339" t="s">
        <v>23</v>
      </c>
      <c r="Q339" t="s">
        <v>23</v>
      </c>
      <c r="R339" t="s">
        <v>29</v>
      </c>
      <c r="S339" t="s">
        <v>24</v>
      </c>
      <c r="T339" t="str">
        <f t="shared" si="10"/>
        <v>low risk</v>
      </c>
      <c r="U339" t="str">
        <f t="shared" si="11"/>
        <v>average</v>
      </c>
    </row>
    <row r="340" spans="1:21">
      <c r="A340" t="s">
        <v>376</v>
      </c>
      <c r="B340">
        <v>50</v>
      </c>
      <c r="C340">
        <v>117795</v>
      </c>
      <c r="D340">
        <v>591</v>
      </c>
      <c r="E340">
        <v>0.67726603921231798</v>
      </c>
      <c r="F340">
        <v>3</v>
      </c>
      <c r="G340">
        <v>1</v>
      </c>
      <c r="H340">
        <v>51016</v>
      </c>
      <c r="I340">
        <v>0.26290419804284398</v>
      </c>
      <c r="J340" t="s">
        <v>34</v>
      </c>
      <c r="K340">
        <v>0</v>
      </c>
      <c r="L340" t="s">
        <v>21</v>
      </c>
      <c r="M340" t="s">
        <v>28</v>
      </c>
      <c r="N340" t="s">
        <v>23</v>
      </c>
      <c r="O340" t="s">
        <v>24</v>
      </c>
      <c r="P340" t="s">
        <v>24</v>
      </c>
      <c r="Q340" t="s">
        <v>23</v>
      </c>
      <c r="R340" t="s">
        <v>24</v>
      </c>
      <c r="S340" t="s">
        <v>23</v>
      </c>
      <c r="T340" t="str">
        <f t="shared" si="10"/>
        <v>High risk</v>
      </c>
      <c r="U340" t="str">
        <f t="shared" si="11"/>
        <v>poor</v>
      </c>
    </row>
    <row r="341" spans="1:21">
      <c r="A341" t="s">
        <v>377</v>
      </c>
      <c r="B341">
        <v>41</v>
      </c>
      <c r="C341">
        <v>62295</v>
      </c>
      <c r="D341">
        <v>715</v>
      </c>
      <c r="E341">
        <v>0.36146768843397897</v>
      </c>
      <c r="F341">
        <v>3</v>
      </c>
      <c r="G341">
        <v>1</v>
      </c>
      <c r="H341">
        <v>86488</v>
      </c>
      <c r="I341">
        <v>0.27835719717241098</v>
      </c>
      <c r="J341" t="s">
        <v>26</v>
      </c>
      <c r="K341">
        <v>18</v>
      </c>
      <c r="L341" t="s">
        <v>45</v>
      </c>
      <c r="M341" t="s">
        <v>28</v>
      </c>
      <c r="N341" t="s">
        <v>23</v>
      </c>
      <c r="O341" t="s">
        <v>23</v>
      </c>
      <c r="P341" t="s">
        <v>29</v>
      </c>
      <c r="Q341" t="s">
        <v>24</v>
      </c>
      <c r="R341" t="s">
        <v>23</v>
      </c>
      <c r="S341" t="s">
        <v>24</v>
      </c>
      <c r="T341" t="str">
        <f t="shared" si="10"/>
        <v>High risk</v>
      </c>
      <c r="U341" t="str">
        <f t="shared" si="11"/>
        <v>average</v>
      </c>
    </row>
    <row r="342" spans="1:21">
      <c r="A342" t="s">
        <v>378</v>
      </c>
      <c r="B342">
        <v>69</v>
      </c>
      <c r="C342">
        <v>70479</v>
      </c>
      <c r="D342">
        <v>361</v>
      </c>
      <c r="E342">
        <v>0.486694296489593</v>
      </c>
      <c r="F342">
        <v>5</v>
      </c>
      <c r="G342">
        <v>0</v>
      </c>
      <c r="H342">
        <v>11308</v>
      </c>
      <c r="I342">
        <v>0.31417854204602602</v>
      </c>
      <c r="J342" t="s">
        <v>50</v>
      </c>
      <c r="K342">
        <v>0</v>
      </c>
      <c r="L342" t="s">
        <v>31</v>
      </c>
      <c r="M342" t="s">
        <v>22</v>
      </c>
      <c r="N342" t="s">
        <v>29</v>
      </c>
      <c r="O342" t="s">
        <v>23</v>
      </c>
      <c r="P342" t="s">
        <v>23</v>
      </c>
      <c r="Q342" t="s">
        <v>24</v>
      </c>
      <c r="R342" t="s">
        <v>23</v>
      </c>
      <c r="S342" t="s">
        <v>24</v>
      </c>
      <c r="T342" t="str">
        <f t="shared" si="10"/>
        <v>Medium risk</v>
      </c>
      <c r="U342" t="str">
        <f t="shared" si="11"/>
        <v>average</v>
      </c>
    </row>
    <row r="343" spans="1:21">
      <c r="A343" t="s">
        <v>379</v>
      </c>
      <c r="B343">
        <v>28</v>
      </c>
      <c r="C343">
        <v>166836</v>
      </c>
      <c r="D343">
        <v>495</v>
      </c>
      <c r="E343">
        <v>0.54905556755568596</v>
      </c>
      <c r="F343">
        <v>0</v>
      </c>
      <c r="G343">
        <v>0</v>
      </c>
      <c r="H343">
        <v>62253</v>
      </c>
      <c r="I343">
        <v>0.24960805286257301</v>
      </c>
      <c r="J343" t="s">
        <v>50</v>
      </c>
      <c r="K343">
        <v>15</v>
      </c>
      <c r="L343" t="s">
        <v>27</v>
      </c>
      <c r="M343" t="s">
        <v>53</v>
      </c>
      <c r="N343" t="s">
        <v>24</v>
      </c>
      <c r="O343" t="s">
        <v>24</v>
      </c>
      <c r="P343" t="s">
        <v>29</v>
      </c>
      <c r="Q343" t="s">
        <v>23</v>
      </c>
      <c r="R343" t="s">
        <v>23</v>
      </c>
      <c r="S343" t="s">
        <v>24</v>
      </c>
      <c r="T343" t="str">
        <f t="shared" si="10"/>
        <v>low risk</v>
      </c>
      <c r="U343" t="str">
        <f t="shared" si="11"/>
        <v>poor</v>
      </c>
    </row>
    <row r="344" spans="1:21">
      <c r="A344" t="s">
        <v>380</v>
      </c>
      <c r="B344">
        <v>66</v>
      </c>
      <c r="C344">
        <v>18267</v>
      </c>
      <c r="D344">
        <v>541</v>
      </c>
      <c r="E344">
        <v>0.73204438071704703</v>
      </c>
      <c r="F344">
        <v>6</v>
      </c>
      <c r="G344">
        <v>0</v>
      </c>
      <c r="I344">
        <v>0.199239930533996</v>
      </c>
      <c r="J344" t="s">
        <v>40</v>
      </c>
      <c r="K344">
        <v>11</v>
      </c>
      <c r="L344" t="s">
        <v>45</v>
      </c>
      <c r="M344" t="s">
        <v>22</v>
      </c>
      <c r="N344" t="s">
        <v>23</v>
      </c>
      <c r="O344" t="s">
        <v>29</v>
      </c>
      <c r="P344" t="s">
        <v>24</v>
      </c>
      <c r="Q344" t="s">
        <v>23</v>
      </c>
      <c r="R344" t="s">
        <v>24</v>
      </c>
      <c r="S344" t="s">
        <v>29</v>
      </c>
      <c r="T344" t="str">
        <f t="shared" si="10"/>
        <v>Medium risk</v>
      </c>
      <c r="U344" t="str">
        <f t="shared" si="11"/>
        <v>average</v>
      </c>
    </row>
    <row r="345" spans="1:21">
      <c r="A345" t="s">
        <v>381</v>
      </c>
      <c r="B345">
        <v>25</v>
      </c>
      <c r="C345">
        <v>118333</v>
      </c>
      <c r="D345">
        <v>486</v>
      </c>
      <c r="E345">
        <v>0.452140644640116</v>
      </c>
      <c r="F345">
        <v>3</v>
      </c>
      <c r="G345">
        <v>0</v>
      </c>
      <c r="H345">
        <v>72809</v>
      </c>
      <c r="I345">
        <v>0.20270791140087499</v>
      </c>
      <c r="J345" t="s">
        <v>40</v>
      </c>
      <c r="K345">
        <v>7</v>
      </c>
      <c r="L345" t="s">
        <v>45</v>
      </c>
      <c r="M345" t="s">
        <v>28</v>
      </c>
      <c r="N345" t="s">
        <v>29</v>
      </c>
      <c r="O345" t="s">
        <v>29</v>
      </c>
      <c r="P345" t="s">
        <v>29</v>
      </c>
      <c r="Q345" t="s">
        <v>29</v>
      </c>
      <c r="R345" t="s">
        <v>24</v>
      </c>
      <c r="S345" t="s">
        <v>23</v>
      </c>
      <c r="T345" t="str">
        <f t="shared" si="10"/>
        <v>Medium risk</v>
      </c>
      <c r="U345" t="str">
        <f t="shared" si="11"/>
        <v>average</v>
      </c>
    </row>
    <row r="346" spans="1:21">
      <c r="A346" t="s">
        <v>382</v>
      </c>
      <c r="B346">
        <v>53</v>
      </c>
      <c r="C346">
        <v>119573</v>
      </c>
      <c r="D346">
        <v>465</v>
      </c>
      <c r="E346">
        <v>0.35643532278965501</v>
      </c>
      <c r="F346">
        <v>0</v>
      </c>
      <c r="G346">
        <v>0</v>
      </c>
      <c r="H346">
        <v>89660</v>
      </c>
      <c r="I346">
        <v>0.42129727292261798</v>
      </c>
      <c r="J346" t="s">
        <v>40</v>
      </c>
      <c r="K346">
        <v>15</v>
      </c>
      <c r="L346" t="s">
        <v>37</v>
      </c>
      <c r="M346" t="s">
        <v>32</v>
      </c>
      <c r="N346" t="s">
        <v>29</v>
      </c>
      <c r="O346" t="s">
        <v>24</v>
      </c>
      <c r="P346" t="s">
        <v>29</v>
      </c>
      <c r="Q346" t="s">
        <v>29</v>
      </c>
      <c r="R346" t="s">
        <v>29</v>
      </c>
      <c r="S346" t="s">
        <v>23</v>
      </c>
      <c r="T346" t="str">
        <f t="shared" si="10"/>
        <v>low risk</v>
      </c>
      <c r="U346" t="str">
        <f t="shared" si="11"/>
        <v>average</v>
      </c>
    </row>
    <row r="347" spans="1:21">
      <c r="A347" t="s">
        <v>383</v>
      </c>
      <c r="B347">
        <v>55</v>
      </c>
      <c r="C347">
        <v>136790</v>
      </c>
      <c r="D347">
        <v>655</v>
      </c>
      <c r="E347">
        <v>0.40312781114552798</v>
      </c>
      <c r="F347">
        <v>4</v>
      </c>
      <c r="G347">
        <v>0</v>
      </c>
      <c r="H347">
        <v>42551</v>
      </c>
      <c r="I347">
        <v>0.17482423136382499</v>
      </c>
      <c r="J347" t="s">
        <v>43</v>
      </c>
      <c r="K347">
        <v>0</v>
      </c>
      <c r="L347" t="s">
        <v>31</v>
      </c>
      <c r="M347" t="s">
        <v>38</v>
      </c>
      <c r="N347" t="s">
        <v>29</v>
      </c>
      <c r="O347" t="s">
        <v>29</v>
      </c>
      <c r="P347" t="s">
        <v>29</v>
      </c>
      <c r="Q347" t="s">
        <v>23</v>
      </c>
      <c r="R347" t="s">
        <v>24</v>
      </c>
      <c r="S347" t="s">
        <v>24</v>
      </c>
      <c r="T347" t="str">
        <f t="shared" si="10"/>
        <v>Medium risk</v>
      </c>
      <c r="U347" t="str">
        <f t="shared" si="11"/>
        <v>average</v>
      </c>
    </row>
    <row r="348" spans="1:21">
      <c r="A348" t="s">
        <v>384</v>
      </c>
      <c r="B348">
        <v>57</v>
      </c>
      <c r="C348">
        <v>117023</v>
      </c>
      <c r="D348">
        <v>700</v>
      </c>
      <c r="E348">
        <v>0.71061148660307505</v>
      </c>
      <c r="F348">
        <v>1</v>
      </c>
      <c r="G348">
        <v>0</v>
      </c>
      <c r="H348">
        <v>89537</v>
      </c>
      <c r="I348">
        <v>0.33631822982912701</v>
      </c>
      <c r="J348" t="s">
        <v>20</v>
      </c>
      <c r="K348">
        <v>3</v>
      </c>
      <c r="L348" t="s">
        <v>31</v>
      </c>
      <c r="M348" t="s">
        <v>28</v>
      </c>
      <c r="N348" t="s">
        <v>29</v>
      </c>
      <c r="O348" t="s">
        <v>23</v>
      </c>
      <c r="P348" t="s">
        <v>24</v>
      </c>
      <c r="Q348" t="s">
        <v>24</v>
      </c>
      <c r="R348" t="s">
        <v>24</v>
      </c>
      <c r="S348" t="s">
        <v>24</v>
      </c>
      <c r="T348" t="str">
        <f t="shared" si="10"/>
        <v>low risk</v>
      </c>
      <c r="U348" t="str">
        <f t="shared" si="11"/>
        <v>poor</v>
      </c>
    </row>
    <row r="349" spans="1:21">
      <c r="A349" t="s">
        <v>385</v>
      </c>
      <c r="B349">
        <v>37</v>
      </c>
      <c r="C349">
        <v>112007</v>
      </c>
      <c r="D349">
        <v>416</v>
      </c>
      <c r="E349">
        <v>0.906661059720693</v>
      </c>
      <c r="F349">
        <v>4</v>
      </c>
      <c r="G349">
        <v>0</v>
      </c>
      <c r="H349">
        <v>56061</v>
      </c>
      <c r="I349">
        <v>0.35195463297743901</v>
      </c>
      <c r="J349" t="s">
        <v>50</v>
      </c>
      <c r="K349">
        <v>9</v>
      </c>
      <c r="L349" t="s">
        <v>27</v>
      </c>
      <c r="M349" t="s">
        <v>32</v>
      </c>
      <c r="N349" t="s">
        <v>23</v>
      </c>
      <c r="O349" t="s">
        <v>29</v>
      </c>
      <c r="P349" t="s">
        <v>23</v>
      </c>
      <c r="Q349" t="s">
        <v>29</v>
      </c>
      <c r="R349" t="s">
        <v>23</v>
      </c>
      <c r="S349" t="s">
        <v>29</v>
      </c>
      <c r="T349" t="str">
        <f t="shared" si="10"/>
        <v>Medium risk</v>
      </c>
      <c r="U349" t="str">
        <f t="shared" si="11"/>
        <v>good</v>
      </c>
    </row>
    <row r="350" spans="1:21">
      <c r="A350" t="s">
        <v>386</v>
      </c>
      <c r="B350">
        <v>52</v>
      </c>
      <c r="C350">
        <v>99665</v>
      </c>
      <c r="D350">
        <v>789</v>
      </c>
      <c r="E350">
        <v>0.23724843726279299</v>
      </c>
      <c r="F350">
        <v>5</v>
      </c>
      <c r="G350">
        <v>0</v>
      </c>
      <c r="H350">
        <v>76567</v>
      </c>
      <c r="I350">
        <v>0.287872452416433</v>
      </c>
      <c r="J350" t="s">
        <v>26</v>
      </c>
      <c r="K350">
        <v>10</v>
      </c>
      <c r="L350" t="s">
        <v>37</v>
      </c>
      <c r="M350" t="s">
        <v>53</v>
      </c>
      <c r="N350" t="s">
        <v>24</v>
      </c>
      <c r="O350" t="s">
        <v>29</v>
      </c>
      <c r="P350" t="s">
        <v>24</v>
      </c>
      <c r="Q350" t="s">
        <v>24</v>
      </c>
      <c r="R350" t="s">
        <v>29</v>
      </c>
      <c r="S350" t="s">
        <v>29</v>
      </c>
      <c r="T350" t="str">
        <f t="shared" si="10"/>
        <v>Medium risk</v>
      </c>
      <c r="U350" t="str">
        <f t="shared" si="11"/>
        <v>poor</v>
      </c>
    </row>
    <row r="351" spans="1:21">
      <c r="A351" t="s">
        <v>387</v>
      </c>
      <c r="B351">
        <v>65</v>
      </c>
      <c r="C351">
        <v>38289</v>
      </c>
      <c r="D351">
        <v>493</v>
      </c>
      <c r="E351">
        <v>0.28093967698602801</v>
      </c>
      <c r="F351">
        <v>2</v>
      </c>
      <c r="G351">
        <v>0</v>
      </c>
      <c r="H351">
        <v>79013</v>
      </c>
      <c r="I351">
        <v>0.47678290584051702</v>
      </c>
      <c r="J351" t="s">
        <v>26</v>
      </c>
      <c r="K351">
        <v>16</v>
      </c>
      <c r="L351" t="s">
        <v>27</v>
      </c>
      <c r="M351" t="s">
        <v>28</v>
      </c>
      <c r="N351" t="s">
        <v>29</v>
      </c>
      <c r="O351" t="s">
        <v>24</v>
      </c>
      <c r="P351" t="s">
        <v>23</v>
      </c>
      <c r="Q351" t="s">
        <v>23</v>
      </c>
      <c r="R351" t="s">
        <v>29</v>
      </c>
      <c r="S351" t="s">
        <v>23</v>
      </c>
      <c r="T351" t="str">
        <f t="shared" si="10"/>
        <v>Medium risk</v>
      </c>
      <c r="U351" t="str">
        <f t="shared" si="11"/>
        <v>average</v>
      </c>
    </row>
    <row r="352" spans="1:21">
      <c r="A352" t="s">
        <v>388</v>
      </c>
      <c r="B352">
        <v>42</v>
      </c>
      <c r="C352">
        <v>167424</v>
      </c>
      <c r="D352">
        <v>341</v>
      </c>
      <c r="E352">
        <v>0.46624064265956999</v>
      </c>
      <c r="F352">
        <v>2</v>
      </c>
      <c r="G352">
        <v>1</v>
      </c>
      <c r="H352">
        <v>52259</v>
      </c>
      <c r="I352">
        <v>0.35017189930276899</v>
      </c>
      <c r="J352" t="s">
        <v>26</v>
      </c>
      <c r="K352">
        <v>6</v>
      </c>
      <c r="L352" t="s">
        <v>21</v>
      </c>
      <c r="M352" t="s">
        <v>32</v>
      </c>
      <c r="N352" t="s">
        <v>24</v>
      </c>
      <c r="O352" t="s">
        <v>29</v>
      </c>
      <c r="P352" t="s">
        <v>23</v>
      </c>
      <c r="Q352" t="s">
        <v>29</v>
      </c>
      <c r="R352" t="s">
        <v>23</v>
      </c>
      <c r="S352" t="s">
        <v>24</v>
      </c>
      <c r="T352" t="str">
        <f t="shared" si="10"/>
        <v>High risk</v>
      </c>
      <c r="U352" t="str">
        <f t="shared" si="11"/>
        <v>average</v>
      </c>
    </row>
    <row r="353" spans="1:21">
      <c r="A353" t="s">
        <v>389</v>
      </c>
      <c r="B353">
        <v>52</v>
      </c>
      <c r="C353">
        <v>98613</v>
      </c>
      <c r="D353">
        <v>820</v>
      </c>
      <c r="E353">
        <v>0.522191219213608</v>
      </c>
      <c r="F353">
        <v>2</v>
      </c>
      <c r="G353">
        <v>0</v>
      </c>
      <c r="H353">
        <v>2200</v>
      </c>
      <c r="I353">
        <v>0.48429030483046498</v>
      </c>
      <c r="J353" t="s">
        <v>26</v>
      </c>
      <c r="K353">
        <v>11</v>
      </c>
      <c r="L353" t="s">
        <v>45</v>
      </c>
      <c r="M353" t="s">
        <v>28</v>
      </c>
      <c r="N353" t="s">
        <v>24</v>
      </c>
      <c r="O353" t="s">
        <v>23</v>
      </c>
      <c r="P353" t="s">
        <v>23</v>
      </c>
      <c r="Q353" t="s">
        <v>23</v>
      </c>
      <c r="R353" t="s">
        <v>23</v>
      </c>
      <c r="S353" t="s">
        <v>24</v>
      </c>
      <c r="T353" t="str">
        <f t="shared" si="10"/>
        <v>Medium risk</v>
      </c>
      <c r="U353" t="str">
        <f t="shared" si="11"/>
        <v>average</v>
      </c>
    </row>
    <row r="354" spans="1:21">
      <c r="A354" t="s">
        <v>390</v>
      </c>
      <c r="B354">
        <v>42</v>
      </c>
      <c r="C354">
        <v>176426</v>
      </c>
      <c r="D354">
        <v>736</v>
      </c>
      <c r="E354">
        <v>0.65739391311099904</v>
      </c>
      <c r="F354">
        <v>4</v>
      </c>
      <c r="G354">
        <v>0</v>
      </c>
      <c r="H354">
        <v>47695</v>
      </c>
      <c r="I354">
        <v>0.23489359980851199</v>
      </c>
      <c r="J354" t="s">
        <v>40</v>
      </c>
      <c r="K354">
        <v>6</v>
      </c>
      <c r="L354" t="s">
        <v>27</v>
      </c>
      <c r="M354" t="s">
        <v>22</v>
      </c>
      <c r="N354" t="s">
        <v>24</v>
      </c>
      <c r="O354" t="s">
        <v>24</v>
      </c>
      <c r="P354" t="s">
        <v>23</v>
      </c>
      <c r="Q354" t="s">
        <v>23</v>
      </c>
      <c r="R354" t="s">
        <v>29</v>
      </c>
      <c r="S354" t="s">
        <v>24</v>
      </c>
      <c r="T354" t="str">
        <f t="shared" si="10"/>
        <v>Medium risk</v>
      </c>
      <c r="U354" t="str">
        <f t="shared" si="11"/>
        <v>poor</v>
      </c>
    </row>
    <row r="355" spans="1:21">
      <c r="A355" t="s">
        <v>391</v>
      </c>
      <c r="B355">
        <v>46</v>
      </c>
      <c r="C355">
        <v>33017</v>
      </c>
      <c r="D355">
        <v>622</v>
      </c>
      <c r="E355">
        <v>0.32177339827970203</v>
      </c>
      <c r="F355">
        <v>3</v>
      </c>
      <c r="G355">
        <v>0</v>
      </c>
      <c r="H355">
        <v>86828</v>
      </c>
      <c r="I355">
        <v>0.23660545901065799</v>
      </c>
      <c r="J355" t="s">
        <v>26</v>
      </c>
      <c r="K355">
        <v>11</v>
      </c>
      <c r="L355" t="s">
        <v>45</v>
      </c>
      <c r="M355" t="s">
        <v>32</v>
      </c>
      <c r="N355" t="s">
        <v>29</v>
      </c>
      <c r="O355" t="s">
        <v>24</v>
      </c>
      <c r="P355" t="s">
        <v>29</v>
      </c>
      <c r="Q355" t="s">
        <v>24</v>
      </c>
      <c r="R355" t="s">
        <v>24</v>
      </c>
      <c r="S355" t="s">
        <v>23</v>
      </c>
      <c r="T355" t="str">
        <f t="shared" si="10"/>
        <v>Medium risk</v>
      </c>
      <c r="U355" t="str">
        <f t="shared" si="11"/>
        <v>poor</v>
      </c>
    </row>
    <row r="356" spans="1:21">
      <c r="A356" t="s">
        <v>392</v>
      </c>
      <c r="B356">
        <v>35</v>
      </c>
      <c r="C356">
        <v>52744</v>
      </c>
      <c r="D356">
        <v>700</v>
      </c>
      <c r="E356">
        <v>0.287378192670107</v>
      </c>
      <c r="F356">
        <v>1</v>
      </c>
      <c r="G356">
        <v>0</v>
      </c>
      <c r="H356">
        <v>24623</v>
      </c>
      <c r="I356">
        <v>0.35275371586800103</v>
      </c>
      <c r="J356" t="s">
        <v>20</v>
      </c>
      <c r="K356">
        <v>14</v>
      </c>
      <c r="L356" t="s">
        <v>37</v>
      </c>
      <c r="M356" t="s">
        <v>22</v>
      </c>
      <c r="N356" t="s">
        <v>24</v>
      </c>
      <c r="O356" t="s">
        <v>29</v>
      </c>
      <c r="P356" t="s">
        <v>24</v>
      </c>
      <c r="Q356" t="s">
        <v>29</v>
      </c>
      <c r="R356" t="s">
        <v>29</v>
      </c>
      <c r="S356" t="s">
        <v>23</v>
      </c>
      <c r="T356" t="str">
        <f t="shared" si="10"/>
        <v>low risk</v>
      </c>
      <c r="U356" t="str">
        <f t="shared" si="11"/>
        <v>average</v>
      </c>
    </row>
    <row r="357" spans="1:21">
      <c r="A357" t="s">
        <v>393</v>
      </c>
      <c r="B357">
        <v>63</v>
      </c>
      <c r="C357">
        <v>149415</v>
      </c>
      <c r="D357">
        <v>385</v>
      </c>
      <c r="E357">
        <v>0.52761743062672595</v>
      </c>
      <c r="F357">
        <v>2</v>
      </c>
      <c r="G357">
        <v>1</v>
      </c>
      <c r="H357">
        <v>4265</v>
      </c>
      <c r="I357">
        <v>0.27385343626807901</v>
      </c>
      <c r="J357" t="s">
        <v>40</v>
      </c>
      <c r="K357">
        <v>1</v>
      </c>
      <c r="L357" t="s">
        <v>21</v>
      </c>
      <c r="M357" t="s">
        <v>22</v>
      </c>
      <c r="N357" t="s">
        <v>29</v>
      </c>
      <c r="O357" t="s">
        <v>29</v>
      </c>
      <c r="P357" t="s">
        <v>24</v>
      </c>
      <c r="Q357" t="s">
        <v>23</v>
      </c>
      <c r="R357" t="s">
        <v>24</v>
      </c>
      <c r="S357" t="s">
        <v>23</v>
      </c>
      <c r="T357" t="str">
        <f t="shared" si="10"/>
        <v>High risk</v>
      </c>
      <c r="U357" t="str">
        <f t="shared" si="11"/>
        <v>average</v>
      </c>
    </row>
    <row r="358" spans="1:21">
      <c r="A358" t="s">
        <v>394</v>
      </c>
      <c r="B358">
        <v>35</v>
      </c>
      <c r="C358">
        <v>32955</v>
      </c>
      <c r="D358">
        <v>359</v>
      </c>
      <c r="E358">
        <v>0.44831985595856599</v>
      </c>
      <c r="F358">
        <v>5</v>
      </c>
      <c r="G358">
        <v>1</v>
      </c>
      <c r="H358">
        <v>77348</v>
      </c>
      <c r="I358">
        <v>0.46856654248920099</v>
      </c>
      <c r="J358" t="s">
        <v>26</v>
      </c>
      <c r="K358">
        <v>13</v>
      </c>
      <c r="L358" t="s">
        <v>37</v>
      </c>
      <c r="M358" t="s">
        <v>32</v>
      </c>
      <c r="N358" t="s">
        <v>24</v>
      </c>
      <c r="O358" t="s">
        <v>29</v>
      </c>
      <c r="P358" t="s">
        <v>24</v>
      </c>
      <c r="Q358" t="s">
        <v>29</v>
      </c>
      <c r="R358" t="s">
        <v>23</v>
      </c>
      <c r="S358" t="s">
        <v>24</v>
      </c>
      <c r="T358" t="str">
        <f t="shared" si="10"/>
        <v>High risk</v>
      </c>
      <c r="U358" t="str">
        <f t="shared" si="11"/>
        <v>poor</v>
      </c>
    </row>
    <row r="359" spans="1:21">
      <c r="A359" t="s">
        <v>395</v>
      </c>
      <c r="B359">
        <v>19</v>
      </c>
      <c r="C359">
        <v>36677</v>
      </c>
      <c r="D359">
        <v>611</v>
      </c>
      <c r="E359">
        <v>0.68534419955430503</v>
      </c>
      <c r="F359">
        <v>5</v>
      </c>
      <c r="G359">
        <v>1</v>
      </c>
      <c r="H359">
        <v>11251</v>
      </c>
      <c r="I359">
        <v>0.334170038363093</v>
      </c>
      <c r="J359" t="s">
        <v>43</v>
      </c>
      <c r="K359">
        <v>12</v>
      </c>
      <c r="L359" t="s">
        <v>21</v>
      </c>
      <c r="M359" t="s">
        <v>38</v>
      </c>
      <c r="N359" t="s">
        <v>24</v>
      </c>
      <c r="O359" t="s">
        <v>29</v>
      </c>
      <c r="P359" t="s">
        <v>23</v>
      </c>
      <c r="Q359" t="s">
        <v>29</v>
      </c>
      <c r="R359" t="s">
        <v>23</v>
      </c>
      <c r="S359" t="s">
        <v>29</v>
      </c>
      <c r="T359" t="str">
        <f t="shared" si="10"/>
        <v>High risk</v>
      </c>
      <c r="U359" t="str">
        <f t="shared" si="11"/>
        <v>average</v>
      </c>
    </row>
    <row r="360" spans="1:21">
      <c r="A360" t="s">
        <v>396</v>
      </c>
      <c r="B360">
        <v>71</v>
      </c>
      <c r="C360">
        <v>198062</v>
      </c>
      <c r="D360">
        <v>538</v>
      </c>
      <c r="E360">
        <v>0.59747196063807595</v>
      </c>
      <c r="F360">
        <v>2</v>
      </c>
      <c r="G360">
        <v>0</v>
      </c>
      <c r="H360">
        <v>25807</v>
      </c>
      <c r="I360">
        <v>0.19554257801432801</v>
      </c>
      <c r="J360" t="s">
        <v>34</v>
      </c>
      <c r="K360">
        <v>3</v>
      </c>
      <c r="L360" t="s">
        <v>21</v>
      </c>
      <c r="M360" t="s">
        <v>32</v>
      </c>
      <c r="N360" t="s">
        <v>29</v>
      </c>
      <c r="O360" t="s">
        <v>29</v>
      </c>
      <c r="P360" t="s">
        <v>24</v>
      </c>
      <c r="Q360" t="s">
        <v>24</v>
      </c>
      <c r="R360" t="s">
        <v>29</v>
      </c>
      <c r="S360" t="s">
        <v>24</v>
      </c>
      <c r="T360" t="str">
        <f t="shared" si="10"/>
        <v>Medium risk</v>
      </c>
      <c r="U360" t="str">
        <f t="shared" si="11"/>
        <v>poor</v>
      </c>
    </row>
    <row r="361" spans="1:21">
      <c r="A361" t="s">
        <v>397</v>
      </c>
      <c r="B361">
        <v>52</v>
      </c>
      <c r="C361">
        <v>137402</v>
      </c>
      <c r="D361">
        <v>617</v>
      </c>
      <c r="E361">
        <v>0.61107586952664295</v>
      </c>
      <c r="F361">
        <v>2</v>
      </c>
      <c r="G361">
        <v>0</v>
      </c>
      <c r="H361">
        <v>78035</v>
      </c>
      <c r="I361">
        <v>0.126318359145597</v>
      </c>
      <c r="J361" t="s">
        <v>34</v>
      </c>
      <c r="K361">
        <v>13</v>
      </c>
      <c r="L361" t="s">
        <v>45</v>
      </c>
      <c r="M361" t="s">
        <v>38</v>
      </c>
      <c r="N361" t="s">
        <v>24</v>
      </c>
      <c r="O361" t="s">
        <v>29</v>
      </c>
      <c r="P361" t="s">
        <v>29</v>
      </c>
      <c r="Q361" t="s">
        <v>24</v>
      </c>
      <c r="R361" t="s">
        <v>23</v>
      </c>
      <c r="S361" t="s">
        <v>23</v>
      </c>
      <c r="T361" t="str">
        <f t="shared" si="10"/>
        <v>Medium risk</v>
      </c>
      <c r="U361" t="str">
        <f t="shared" si="11"/>
        <v>average</v>
      </c>
    </row>
    <row r="362" spans="1:21">
      <c r="A362" t="s">
        <v>398</v>
      </c>
      <c r="B362">
        <v>33</v>
      </c>
      <c r="C362">
        <v>38524</v>
      </c>
      <c r="D362">
        <v>311</v>
      </c>
      <c r="E362">
        <v>0.47910373072462598</v>
      </c>
      <c r="F362">
        <v>1</v>
      </c>
      <c r="G362">
        <v>0</v>
      </c>
      <c r="H362">
        <v>68998</v>
      </c>
      <c r="I362">
        <v>0.292176140765673</v>
      </c>
      <c r="J362" t="s">
        <v>34</v>
      </c>
      <c r="K362">
        <v>13</v>
      </c>
      <c r="L362" t="s">
        <v>37</v>
      </c>
      <c r="M362" t="s">
        <v>28</v>
      </c>
      <c r="N362" t="s">
        <v>29</v>
      </c>
      <c r="O362" t="s">
        <v>24</v>
      </c>
      <c r="P362" t="s">
        <v>23</v>
      </c>
      <c r="Q362" t="s">
        <v>29</v>
      </c>
      <c r="R362" t="s">
        <v>29</v>
      </c>
      <c r="S362" t="s">
        <v>24</v>
      </c>
      <c r="T362" t="str">
        <f t="shared" si="10"/>
        <v>low risk</v>
      </c>
      <c r="U362" t="str">
        <f t="shared" si="11"/>
        <v>average</v>
      </c>
    </row>
    <row r="363" spans="1:21">
      <c r="A363" t="s">
        <v>399</v>
      </c>
      <c r="B363">
        <v>58</v>
      </c>
      <c r="C363">
        <v>180421</v>
      </c>
      <c r="D363">
        <v>679</v>
      </c>
      <c r="E363">
        <v>0.97111605171364102</v>
      </c>
      <c r="F363">
        <v>2</v>
      </c>
      <c r="G363">
        <v>0</v>
      </c>
      <c r="H363">
        <v>53553</v>
      </c>
      <c r="I363">
        <v>0.29108768704667598</v>
      </c>
      <c r="J363" t="s">
        <v>40</v>
      </c>
      <c r="K363">
        <v>15</v>
      </c>
      <c r="L363" t="s">
        <v>37</v>
      </c>
      <c r="M363" t="s">
        <v>28</v>
      </c>
      <c r="N363" t="s">
        <v>23</v>
      </c>
      <c r="O363" t="s">
        <v>24</v>
      </c>
      <c r="P363" t="s">
        <v>23</v>
      </c>
      <c r="Q363" t="s">
        <v>29</v>
      </c>
      <c r="R363" t="s">
        <v>29</v>
      </c>
      <c r="S363" t="s">
        <v>23</v>
      </c>
      <c r="T363" t="str">
        <f t="shared" si="10"/>
        <v>Medium risk</v>
      </c>
      <c r="U363" t="str">
        <f t="shared" si="11"/>
        <v>average</v>
      </c>
    </row>
    <row r="364" spans="1:21">
      <c r="A364" t="s">
        <v>400</v>
      </c>
      <c r="B364">
        <v>53</v>
      </c>
      <c r="C364">
        <v>107193</v>
      </c>
      <c r="D364">
        <v>316</v>
      </c>
      <c r="E364">
        <v>0.33245040368124801</v>
      </c>
      <c r="F364">
        <v>1</v>
      </c>
      <c r="G364">
        <v>1</v>
      </c>
      <c r="H364">
        <v>86447</v>
      </c>
      <c r="I364">
        <v>0.33137659233083799</v>
      </c>
      <c r="J364" t="s">
        <v>26</v>
      </c>
      <c r="K364">
        <v>6</v>
      </c>
      <c r="L364" t="s">
        <v>27</v>
      </c>
      <c r="M364" t="s">
        <v>32</v>
      </c>
      <c r="N364" t="s">
        <v>24</v>
      </c>
      <c r="O364" t="s">
        <v>24</v>
      </c>
      <c r="P364" t="s">
        <v>24</v>
      </c>
      <c r="Q364" t="s">
        <v>24</v>
      </c>
      <c r="R364" t="s">
        <v>23</v>
      </c>
      <c r="S364" t="s">
        <v>24</v>
      </c>
      <c r="T364" t="str">
        <f t="shared" si="10"/>
        <v>High risk</v>
      </c>
      <c r="U364" t="str">
        <f t="shared" si="11"/>
        <v>poor</v>
      </c>
    </row>
    <row r="365" spans="1:21">
      <c r="A365" t="s">
        <v>401</v>
      </c>
      <c r="B365">
        <v>50</v>
      </c>
      <c r="C365">
        <v>21949</v>
      </c>
      <c r="D365">
        <v>682</v>
      </c>
      <c r="E365">
        <v>0.62216196675095503</v>
      </c>
      <c r="F365">
        <v>5</v>
      </c>
      <c r="G365">
        <v>0</v>
      </c>
      <c r="H365">
        <v>31449</v>
      </c>
      <c r="I365">
        <v>0.42106905737558997</v>
      </c>
      <c r="J365" t="s">
        <v>50</v>
      </c>
      <c r="K365">
        <v>18</v>
      </c>
      <c r="L365" t="s">
        <v>37</v>
      </c>
      <c r="M365" t="s">
        <v>28</v>
      </c>
      <c r="N365" t="s">
        <v>23</v>
      </c>
      <c r="O365" t="s">
        <v>29</v>
      </c>
      <c r="P365" t="s">
        <v>29</v>
      </c>
      <c r="Q365" t="s">
        <v>23</v>
      </c>
      <c r="R365" t="s">
        <v>24</v>
      </c>
      <c r="S365" t="s">
        <v>23</v>
      </c>
      <c r="T365" t="str">
        <f t="shared" si="10"/>
        <v>Medium risk</v>
      </c>
      <c r="U365" t="str">
        <f t="shared" si="11"/>
        <v>average</v>
      </c>
    </row>
    <row r="366" spans="1:21">
      <c r="A366" t="s">
        <v>402</v>
      </c>
      <c r="B366">
        <v>21</v>
      </c>
      <c r="C366">
        <v>34870</v>
      </c>
      <c r="D366">
        <v>622</v>
      </c>
      <c r="E366">
        <v>0.246062002585378</v>
      </c>
      <c r="F366">
        <v>2</v>
      </c>
      <c r="G366">
        <v>0</v>
      </c>
      <c r="H366">
        <v>13761</v>
      </c>
      <c r="I366">
        <v>0.40791133039939198</v>
      </c>
      <c r="J366" t="s">
        <v>50</v>
      </c>
      <c r="K366">
        <v>1</v>
      </c>
      <c r="L366" t="s">
        <v>27</v>
      </c>
      <c r="M366" t="s">
        <v>53</v>
      </c>
      <c r="N366" t="s">
        <v>24</v>
      </c>
      <c r="O366" t="s">
        <v>29</v>
      </c>
      <c r="P366" t="s">
        <v>23</v>
      </c>
      <c r="Q366" t="s">
        <v>23</v>
      </c>
      <c r="R366" t="s">
        <v>29</v>
      </c>
      <c r="S366" t="s">
        <v>23</v>
      </c>
      <c r="T366" t="str">
        <f t="shared" si="10"/>
        <v>Medium risk</v>
      </c>
      <c r="U366" t="str">
        <f t="shared" si="11"/>
        <v>average</v>
      </c>
    </row>
    <row r="367" spans="1:21">
      <c r="A367" t="s">
        <v>403</v>
      </c>
      <c r="B367">
        <v>50</v>
      </c>
      <c r="C367">
        <v>59811</v>
      </c>
      <c r="D367">
        <v>475</v>
      </c>
      <c r="E367">
        <v>0.285306464452109</v>
      </c>
      <c r="F367">
        <v>4</v>
      </c>
      <c r="G367">
        <v>0</v>
      </c>
      <c r="H367">
        <v>23125</v>
      </c>
      <c r="I367">
        <v>0.242109896766356</v>
      </c>
      <c r="J367" t="s">
        <v>50</v>
      </c>
      <c r="K367">
        <v>9</v>
      </c>
      <c r="L367" t="s">
        <v>31</v>
      </c>
      <c r="M367" t="s">
        <v>22</v>
      </c>
      <c r="N367" t="s">
        <v>24</v>
      </c>
      <c r="O367" t="s">
        <v>29</v>
      </c>
      <c r="P367" t="s">
        <v>23</v>
      </c>
      <c r="Q367" t="s">
        <v>24</v>
      </c>
      <c r="R367" t="s">
        <v>24</v>
      </c>
      <c r="S367" t="s">
        <v>29</v>
      </c>
      <c r="T367" t="str">
        <f t="shared" si="10"/>
        <v>Medium risk</v>
      </c>
      <c r="U367" t="str">
        <f t="shared" si="11"/>
        <v>poor</v>
      </c>
    </row>
    <row r="368" spans="1:21">
      <c r="A368" t="s">
        <v>404</v>
      </c>
      <c r="B368">
        <v>31</v>
      </c>
      <c r="C368">
        <v>42350</v>
      </c>
      <c r="D368">
        <v>389</v>
      </c>
      <c r="E368">
        <v>0.37853088024690901</v>
      </c>
      <c r="F368">
        <v>6</v>
      </c>
      <c r="G368">
        <v>0</v>
      </c>
      <c r="H368">
        <v>50310</v>
      </c>
      <c r="I368">
        <v>0.17061805981955699</v>
      </c>
      <c r="J368" t="s">
        <v>40</v>
      </c>
      <c r="K368">
        <v>17</v>
      </c>
      <c r="L368" t="s">
        <v>31</v>
      </c>
      <c r="M368" t="s">
        <v>22</v>
      </c>
      <c r="N368" t="s">
        <v>24</v>
      </c>
      <c r="O368" t="s">
        <v>29</v>
      </c>
      <c r="P368" t="s">
        <v>29</v>
      </c>
      <c r="Q368" t="s">
        <v>24</v>
      </c>
      <c r="R368" t="s">
        <v>23</v>
      </c>
      <c r="S368" t="s">
        <v>23</v>
      </c>
      <c r="T368" t="str">
        <f t="shared" si="10"/>
        <v>Medium risk</v>
      </c>
      <c r="U368" t="str">
        <f t="shared" si="11"/>
        <v>average</v>
      </c>
    </row>
    <row r="369" spans="1:21">
      <c r="A369" t="s">
        <v>405</v>
      </c>
      <c r="B369">
        <v>38</v>
      </c>
      <c r="C369">
        <v>118081</v>
      </c>
      <c r="D369">
        <v>523</v>
      </c>
      <c r="E369">
        <v>0.82586466732360497</v>
      </c>
      <c r="F369">
        <v>4</v>
      </c>
      <c r="G369">
        <v>0</v>
      </c>
      <c r="H369">
        <v>74288</v>
      </c>
      <c r="I369">
        <v>0.17658788649909199</v>
      </c>
      <c r="J369" t="s">
        <v>20</v>
      </c>
      <c r="K369">
        <v>16</v>
      </c>
      <c r="L369" t="s">
        <v>31</v>
      </c>
      <c r="M369" t="s">
        <v>38</v>
      </c>
      <c r="N369" t="s">
        <v>23</v>
      </c>
      <c r="O369" t="s">
        <v>24</v>
      </c>
      <c r="P369" t="s">
        <v>23</v>
      </c>
      <c r="Q369" t="s">
        <v>23</v>
      </c>
      <c r="R369" t="s">
        <v>29</v>
      </c>
      <c r="S369" t="s">
        <v>24</v>
      </c>
      <c r="T369" t="str">
        <f t="shared" si="10"/>
        <v>Medium risk</v>
      </c>
      <c r="U369" t="str">
        <f t="shared" si="11"/>
        <v>average</v>
      </c>
    </row>
    <row r="370" spans="1:21">
      <c r="A370" t="s">
        <v>406</v>
      </c>
      <c r="B370">
        <v>65</v>
      </c>
      <c r="C370">
        <v>28807</v>
      </c>
      <c r="D370">
        <v>728</v>
      </c>
      <c r="E370">
        <v>0.55277888609080295</v>
      </c>
      <c r="F370">
        <v>5</v>
      </c>
      <c r="G370">
        <v>0</v>
      </c>
      <c r="H370">
        <v>24670</v>
      </c>
      <c r="I370">
        <v>0.226319829467862</v>
      </c>
      <c r="J370" t="s">
        <v>43</v>
      </c>
      <c r="K370">
        <v>4</v>
      </c>
      <c r="L370" t="s">
        <v>37</v>
      </c>
      <c r="M370" t="s">
        <v>28</v>
      </c>
      <c r="N370" t="s">
        <v>23</v>
      </c>
      <c r="O370" t="s">
        <v>29</v>
      </c>
      <c r="P370" t="s">
        <v>24</v>
      </c>
      <c r="Q370" t="s">
        <v>29</v>
      </c>
      <c r="R370" t="s">
        <v>29</v>
      </c>
      <c r="S370" t="s">
        <v>29</v>
      </c>
      <c r="T370" t="str">
        <f t="shared" si="10"/>
        <v>Medium risk</v>
      </c>
      <c r="U370" t="str">
        <f t="shared" si="11"/>
        <v>average</v>
      </c>
    </row>
    <row r="371" spans="1:21">
      <c r="A371" t="s">
        <v>407</v>
      </c>
      <c r="B371">
        <v>37</v>
      </c>
      <c r="D371">
        <v>459</v>
      </c>
      <c r="E371">
        <v>0.381904386291124</v>
      </c>
      <c r="F371">
        <v>1</v>
      </c>
      <c r="G371">
        <v>0</v>
      </c>
      <c r="H371">
        <v>62561</v>
      </c>
      <c r="I371">
        <v>0.263326845196098</v>
      </c>
      <c r="J371" t="s">
        <v>43</v>
      </c>
      <c r="K371">
        <v>11</v>
      </c>
      <c r="L371" t="s">
        <v>37</v>
      </c>
      <c r="M371" t="s">
        <v>38</v>
      </c>
      <c r="N371" t="s">
        <v>29</v>
      </c>
      <c r="O371" t="s">
        <v>24</v>
      </c>
      <c r="P371" t="s">
        <v>29</v>
      </c>
      <c r="Q371" t="s">
        <v>23</v>
      </c>
      <c r="R371" t="s">
        <v>23</v>
      </c>
      <c r="S371" t="s">
        <v>24</v>
      </c>
      <c r="T371" t="str">
        <f t="shared" si="10"/>
        <v>low risk</v>
      </c>
      <c r="U371" t="str">
        <f t="shared" si="11"/>
        <v>average</v>
      </c>
    </row>
    <row r="372" spans="1:21">
      <c r="A372" t="s">
        <v>408</v>
      </c>
      <c r="B372">
        <v>73</v>
      </c>
      <c r="D372">
        <v>384</v>
      </c>
      <c r="E372">
        <v>0.57488726519091404</v>
      </c>
      <c r="F372">
        <v>4</v>
      </c>
      <c r="G372">
        <v>0</v>
      </c>
      <c r="H372">
        <v>91970</v>
      </c>
      <c r="I372">
        <v>0.33050621389651602</v>
      </c>
      <c r="J372" t="s">
        <v>34</v>
      </c>
      <c r="K372">
        <v>5</v>
      </c>
      <c r="L372" t="s">
        <v>27</v>
      </c>
      <c r="M372" t="s">
        <v>22</v>
      </c>
      <c r="N372" t="s">
        <v>23</v>
      </c>
      <c r="O372" t="s">
        <v>23</v>
      </c>
      <c r="P372" t="s">
        <v>23</v>
      </c>
      <c r="Q372" t="s">
        <v>24</v>
      </c>
      <c r="R372" t="s">
        <v>24</v>
      </c>
      <c r="S372" t="s">
        <v>24</v>
      </c>
      <c r="T372" t="str">
        <f t="shared" si="10"/>
        <v>Medium risk</v>
      </c>
      <c r="U372" t="str">
        <f t="shared" si="11"/>
        <v>poor</v>
      </c>
    </row>
    <row r="373" spans="1:21">
      <c r="A373" t="s">
        <v>409</v>
      </c>
      <c r="B373">
        <v>25</v>
      </c>
      <c r="C373">
        <v>90353</v>
      </c>
      <c r="D373">
        <v>643</v>
      </c>
      <c r="E373">
        <v>0.50702957628490097</v>
      </c>
      <c r="F373">
        <v>1</v>
      </c>
      <c r="G373">
        <v>0</v>
      </c>
      <c r="H373">
        <v>88423</v>
      </c>
      <c r="I373">
        <v>0.21990324031040201</v>
      </c>
      <c r="J373" t="s">
        <v>34</v>
      </c>
      <c r="K373">
        <v>8</v>
      </c>
      <c r="L373" t="s">
        <v>21</v>
      </c>
      <c r="M373" t="s">
        <v>22</v>
      </c>
      <c r="N373" t="s">
        <v>24</v>
      </c>
      <c r="O373" t="s">
        <v>23</v>
      </c>
      <c r="P373" t="s">
        <v>24</v>
      </c>
      <c r="Q373" t="s">
        <v>29</v>
      </c>
      <c r="R373" t="s">
        <v>24</v>
      </c>
      <c r="S373" t="s">
        <v>23</v>
      </c>
      <c r="T373" t="str">
        <f t="shared" si="10"/>
        <v>low risk</v>
      </c>
      <c r="U373" t="str">
        <f t="shared" si="11"/>
        <v>poor</v>
      </c>
    </row>
    <row r="374" spans="1:21">
      <c r="A374" t="s">
        <v>410</v>
      </c>
      <c r="B374">
        <v>24</v>
      </c>
      <c r="C374">
        <v>42350</v>
      </c>
      <c r="D374">
        <v>664</v>
      </c>
      <c r="E374">
        <v>0.40160532617217598</v>
      </c>
      <c r="F374">
        <v>4</v>
      </c>
      <c r="G374">
        <v>0</v>
      </c>
      <c r="H374">
        <v>11251</v>
      </c>
      <c r="I374">
        <v>0.328039197111331</v>
      </c>
      <c r="J374" t="s">
        <v>50</v>
      </c>
      <c r="K374">
        <v>19</v>
      </c>
      <c r="L374" t="s">
        <v>27</v>
      </c>
      <c r="M374" t="s">
        <v>28</v>
      </c>
      <c r="N374" t="s">
        <v>23</v>
      </c>
      <c r="O374" t="s">
        <v>29</v>
      </c>
      <c r="P374" t="s">
        <v>29</v>
      </c>
      <c r="Q374" t="s">
        <v>23</v>
      </c>
      <c r="R374" t="s">
        <v>24</v>
      </c>
      <c r="S374" t="s">
        <v>23</v>
      </c>
      <c r="T374" t="str">
        <f t="shared" si="10"/>
        <v>Medium risk</v>
      </c>
      <c r="U374" t="str">
        <f t="shared" si="11"/>
        <v>average</v>
      </c>
    </row>
    <row r="375" spans="1:21">
      <c r="A375" t="s">
        <v>411</v>
      </c>
      <c r="B375">
        <v>20</v>
      </c>
      <c r="C375">
        <v>76813</v>
      </c>
      <c r="D375">
        <v>693</v>
      </c>
      <c r="E375">
        <v>0.22067422884235399</v>
      </c>
      <c r="F375">
        <v>4</v>
      </c>
      <c r="G375">
        <v>0</v>
      </c>
      <c r="H375">
        <v>85678</v>
      </c>
      <c r="I375">
        <v>0.33620401458590499</v>
      </c>
      <c r="J375" t="s">
        <v>50</v>
      </c>
      <c r="K375">
        <v>0</v>
      </c>
      <c r="L375" t="s">
        <v>31</v>
      </c>
      <c r="M375" t="s">
        <v>53</v>
      </c>
      <c r="N375" t="s">
        <v>29</v>
      </c>
      <c r="O375" t="s">
        <v>29</v>
      </c>
      <c r="P375" t="s">
        <v>29</v>
      </c>
      <c r="Q375" t="s">
        <v>24</v>
      </c>
      <c r="R375" t="s">
        <v>23</v>
      </c>
      <c r="S375" t="s">
        <v>23</v>
      </c>
      <c r="T375" t="str">
        <f t="shared" si="10"/>
        <v>Medium risk</v>
      </c>
      <c r="U375" t="str">
        <f t="shared" si="11"/>
        <v>average</v>
      </c>
    </row>
    <row r="376" spans="1:21">
      <c r="A376" t="s">
        <v>412</v>
      </c>
      <c r="B376">
        <v>34</v>
      </c>
      <c r="C376">
        <v>101900</v>
      </c>
      <c r="D376">
        <v>648</v>
      </c>
      <c r="E376">
        <v>0.78770849690245803</v>
      </c>
      <c r="F376">
        <v>1</v>
      </c>
      <c r="G376">
        <v>1</v>
      </c>
      <c r="H376">
        <v>48942</v>
      </c>
      <c r="I376">
        <v>0.31433438825958798</v>
      </c>
      <c r="J376" t="s">
        <v>34</v>
      </c>
      <c r="K376">
        <v>14</v>
      </c>
      <c r="L376" t="s">
        <v>27</v>
      </c>
      <c r="M376" t="s">
        <v>53</v>
      </c>
      <c r="N376" t="s">
        <v>24</v>
      </c>
      <c r="O376" t="s">
        <v>24</v>
      </c>
      <c r="P376" t="s">
        <v>24</v>
      </c>
      <c r="Q376" t="s">
        <v>24</v>
      </c>
      <c r="R376" t="s">
        <v>29</v>
      </c>
      <c r="S376" t="s">
        <v>24</v>
      </c>
      <c r="T376" t="str">
        <f t="shared" si="10"/>
        <v>High risk</v>
      </c>
      <c r="U376" t="str">
        <f t="shared" si="11"/>
        <v>poor</v>
      </c>
    </row>
    <row r="377" spans="1:21">
      <c r="A377" t="s">
        <v>413</v>
      </c>
      <c r="B377">
        <v>50</v>
      </c>
      <c r="D377">
        <v>773</v>
      </c>
      <c r="E377">
        <v>0.54196362574200796</v>
      </c>
      <c r="F377">
        <v>3</v>
      </c>
      <c r="G377">
        <v>0</v>
      </c>
      <c r="H377">
        <v>7468</v>
      </c>
      <c r="I377">
        <v>0.18713770029873</v>
      </c>
      <c r="J377" t="s">
        <v>26</v>
      </c>
      <c r="K377">
        <v>5</v>
      </c>
      <c r="L377" t="s">
        <v>21</v>
      </c>
      <c r="M377" t="s">
        <v>28</v>
      </c>
      <c r="N377" t="s">
        <v>24</v>
      </c>
      <c r="O377" t="s">
        <v>24</v>
      </c>
      <c r="P377" t="s">
        <v>23</v>
      </c>
      <c r="Q377" t="s">
        <v>29</v>
      </c>
      <c r="R377" t="s">
        <v>24</v>
      </c>
      <c r="S377" t="s">
        <v>23</v>
      </c>
      <c r="T377" t="str">
        <f t="shared" si="10"/>
        <v>Medium risk</v>
      </c>
      <c r="U377" t="str">
        <f t="shared" si="11"/>
        <v>poor</v>
      </c>
    </row>
    <row r="378" spans="1:21">
      <c r="A378" t="s">
        <v>414</v>
      </c>
      <c r="B378">
        <v>65</v>
      </c>
      <c r="D378">
        <v>781</v>
      </c>
      <c r="E378">
        <v>0.93474767469364695</v>
      </c>
      <c r="F378">
        <v>4</v>
      </c>
      <c r="G378">
        <v>0</v>
      </c>
      <c r="H378">
        <v>26000</v>
      </c>
      <c r="I378">
        <v>0.34678267252359501</v>
      </c>
      <c r="J378" t="s">
        <v>20</v>
      </c>
      <c r="K378">
        <v>18</v>
      </c>
      <c r="L378" t="s">
        <v>37</v>
      </c>
      <c r="M378" t="s">
        <v>28</v>
      </c>
      <c r="N378" t="s">
        <v>29</v>
      </c>
      <c r="O378" t="s">
        <v>23</v>
      </c>
      <c r="P378" t="s">
        <v>29</v>
      </c>
      <c r="Q378" t="s">
        <v>23</v>
      </c>
      <c r="R378" t="s">
        <v>29</v>
      </c>
      <c r="S378" t="s">
        <v>29</v>
      </c>
      <c r="T378" t="str">
        <f t="shared" si="10"/>
        <v>Medium risk</v>
      </c>
      <c r="U378" t="str">
        <f t="shared" si="11"/>
        <v>good</v>
      </c>
    </row>
    <row r="379" spans="1:21">
      <c r="A379" t="s">
        <v>415</v>
      </c>
      <c r="B379">
        <v>29</v>
      </c>
      <c r="C379">
        <v>68932</v>
      </c>
      <c r="D379">
        <v>535</v>
      </c>
      <c r="E379">
        <v>0.68806432410817597</v>
      </c>
      <c r="F379">
        <v>2</v>
      </c>
      <c r="G379">
        <v>0</v>
      </c>
      <c r="H379">
        <v>82909</v>
      </c>
      <c r="I379">
        <v>0.50812696287667203</v>
      </c>
      <c r="J379" t="s">
        <v>20</v>
      </c>
      <c r="K379">
        <v>17</v>
      </c>
      <c r="L379" t="s">
        <v>27</v>
      </c>
      <c r="M379" t="s">
        <v>38</v>
      </c>
      <c r="N379" t="s">
        <v>23</v>
      </c>
      <c r="O379" t="s">
        <v>23</v>
      </c>
      <c r="P379" t="s">
        <v>29</v>
      </c>
      <c r="Q379" t="s">
        <v>24</v>
      </c>
      <c r="R379" t="s">
        <v>29</v>
      </c>
      <c r="S379" t="s">
        <v>23</v>
      </c>
      <c r="T379" t="str">
        <f t="shared" si="10"/>
        <v>Medium risk</v>
      </c>
      <c r="U379" t="str">
        <f t="shared" si="11"/>
        <v>average</v>
      </c>
    </row>
    <row r="380" spans="1:21">
      <c r="A380" t="s">
        <v>416</v>
      </c>
      <c r="B380">
        <v>68</v>
      </c>
      <c r="E380">
        <v>0.61026394495220804</v>
      </c>
      <c r="F380">
        <v>6</v>
      </c>
      <c r="G380">
        <v>0</v>
      </c>
      <c r="H380">
        <v>27490</v>
      </c>
      <c r="I380">
        <v>0.32458968269129002</v>
      </c>
      <c r="J380" t="s">
        <v>20</v>
      </c>
      <c r="K380">
        <v>5</v>
      </c>
      <c r="L380" t="s">
        <v>31</v>
      </c>
      <c r="M380" t="s">
        <v>28</v>
      </c>
      <c r="N380" t="s">
        <v>24</v>
      </c>
      <c r="O380" t="s">
        <v>24</v>
      </c>
      <c r="P380" t="s">
        <v>24</v>
      </c>
      <c r="Q380" t="s">
        <v>23</v>
      </c>
      <c r="R380" t="s">
        <v>29</v>
      </c>
      <c r="S380" t="s">
        <v>23</v>
      </c>
      <c r="T380" t="str">
        <f t="shared" si="10"/>
        <v>Medium risk</v>
      </c>
      <c r="U380" t="str">
        <f t="shared" si="11"/>
        <v>poor</v>
      </c>
    </row>
    <row r="381" spans="1:21">
      <c r="A381" t="s">
        <v>417</v>
      </c>
      <c r="B381">
        <v>39</v>
      </c>
      <c r="C381">
        <v>150230</v>
      </c>
      <c r="D381">
        <v>742</v>
      </c>
      <c r="E381">
        <v>0.41295913427660602</v>
      </c>
      <c r="F381">
        <v>5</v>
      </c>
      <c r="G381">
        <v>1</v>
      </c>
      <c r="H381">
        <v>33472</v>
      </c>
      <c r="I381">
        <v>0.1</v>
      </c>
      <c r="J381" t="s">
        <v>20</v>
      </c>
      <c r="K381">
        <v>12</v>
      </c>
      <c r="L381" t="s">
        <v>31</v>
      </c>
      <c r="M381" t="s">
        <v>53</v>
      </c>
      <c r="N381" t="s">
        <v>23</v>
      </c>
      <c r="O381" t="s">
        <v>23</v>
      </c>
      <c r="P381" t="s">
        <v>29</v>
      </c>
      <c r="Q381" t="s">
        <v>24</v>
      </c>
      <c r="R381" t="s">
        <v>24</v>
      </c>
      <c r="S381" t="s">
        <v>23</v>
      </c>
      <c r="T381" t="str">
        <f t="shared" si="10"/>
        <v>High risk</v>
      </c>
      <c r="U381" t="str">
        <f t="shared" si="11"/>
        <v>average</v>
      </c>
    </row>
    <row r="382" spans="1:21">
      <c r="A382" t="s">
        <v>418</v>
      </c>
      <c r="B382">
        <v>72</v>
      </c>
      <c r="C382">
        <v>100999</v>
      </c>
      <c r="D382">
        <v>823</v>
      </c>
      <c r="E382">
        <v>0.28093088722861598</v>
      </c>
      <c r="F382">
        <v>3</v>
      </c>
      <c r="G382">
        <v>0</v>
      </c>
      <c r="H382">
        <v>13355</v>
      </c>
      <c r="I382">
        <v>0.42408795720469</v>
      </c>
      <c r="J382" t="s">
        <v>34</v>
      </c>
      <c r="K382">
        <v>0</v>
      </c>
      <c r="L382" t="s">
        <v>37</v>
      </c>
      <c r="M382" t="s">
        <v>28</v>
      </c>
      <c r="N382" t="s">
        <v>23</v>
      </c>
      <c r="O382" t="s">
        <v>29</v>
      </c>
      <c r="P382" t="s">
        <v>23</v>
      </c>
      <c r="Q382" t="s">
        <v>24</v>
      </c>
      <c r="R382" t="s">
        <v>23</v>
      </c>
      <c r="S382" t="s">
        <v>29</v>
      </c>
      <c r="T382" t="str">
        <f t="shared" si="10"/>
        <v>Medium risk</v>
      </c>
      <c r="U382" t="str">
        <f t="shared" si="11"/>
        <v>average</v>
      </c>
    </row>
    <row r="383" spans="1:21">
      <c r="A383" t="s">
        <v>419</v>
      </c>
      <c r="B383">
        <v>39</v>
      </c>
      <c r="C383">
        <v>88963</v>
      </c>
      <c r="D383">
        <v>310</v>
      </c>
      <c r="E383">
        <v>0.45645380310230999</v>
      </c>
      <c r="F383">
        <v>1</v>
      </c>
      <c r="G383">
        <v>0</v>
      </c>
      <c r="H383">
        <v>6118</v>
      </c>
      <c r="I383">
        <v>0.22972522233006101</v>
      </c>
      <c r="J383" t="s">
        <v>43</v>
      </c>
      <c r="K383">
        <v>12</v>
      </c>
      <c r="L383" t="s">
        <v>27</v>
      </c>
      <c r="M383" t="s">
        <v>38</v>
      </c>
      <c r="N383" t="s">
        <v>24</v>
      </c>
      <c r="O383" t="s">
        <v>29</v>
      </c>
      <c r="P383" t="s">
        <v>29</v>
      </c>
      <c r="Q383" t="s">
        <v>23</v>
      </c>
      <c r="R383" t="s">
        <v>23</v>
      </c>
      <c r="S383" t="s">
        <v>29</v>
      </c>
      <c r="T383" t="str">
        <f t="shared" si="10"/>
        <v>low risk</v>
      </c>
      <c r="U383" t="str">
        <f t="shared" si="11"/>
        <v>average</v>
      </c>
    </row>
    <row r="384" spans="1:21">
      <c r="A384" t="s">
        <v>420</v>
      </c>
      <c r="B384">
        <v>63</v>
      </c>
      <c r="C384">
        <v>120616</v>
      </c>
      <c r="D384">
        <v>345</v>
      </c>
      <c r="E384">
        <v>0.27514148115883302</v>
      </c>
      <c r="F384">
        <v>3</v>
      </c>
      <c r="G384">
        <v>0</v>
      </c>
      <c r="H384">
        <v>98999</v>
      </c>
      <c r="I384">
        <v>0.52657126904956897</v>
      </c>
      <c r="J384" t="s">
        <v>34</v>
      </c>
      <c r="K384">
        <v>6</v>
      </c>
      <c r="L384" t="s">
        <v>21</v>
      </c>
      <c r="M384" t="s">
        <v>38</v>
      </c>
      <c r="N384" t="s">
        <v>23</v>
      </c>
      <c r="O384" t="s">
        <v>23</v>
      </c>
      <c r="P384" t="s">
        <v>24</v>
      </c>
      <c r="Q384" t="s">
        <v>24</v>
      </c>
      <c r="R384" t="s">
        <v>23</v>
      </c>
      <c r="S384" t="s">
        <v>24</v>
      </c>
      <c r="T384" t="str">
        <f t="shared" si="10"/>
        <v>Medium risk</v>
      </c>
      <c r="U384" t="str">
        <f t="shared" si="11"/>
        <v>poor</v>
      </c>
    </row>
    <row r="385" spans="1:21">
      <c r="A385" t="s">
        <v>421</v>
      </c>
      <c r="B385">
        <v>47</v>
      </c>
      <c r="C385">
        <v>61540</v>
      </c>
      <c r="D385">
        <v>414</v>
      </c>
      <c r="E385">
        <v>0.63003807614615004</v>
      </c>
      <c r="F385">
        <v>0</v>
      </c>
      <c r="G385">
        <v>0</v>
      </c>
      <c r="H385">
        <v>37658</v>
      </c>
      <c r="I385">
        <v>0.31163634513659599</v>
      </c>
      <c r="J385" t="s">
        <v>20</v>
      </c>
      <c r="K385">
        <v>14</v>
      </c>
      <c r="L385" t="s">
        <v>37</v>
      </c>
      <c r="M385" t="s">
        <v>38</v>
      </c>
      <c r="N385" t="s">
        <v>29</v>
      </c>
      <c r="O385" t="s">
        <v>24</v>
      </c>
      <c r="P385" t="s">
        <v>24</v>
      </c>
      <c r="Q385" t="s">
        <v>23</v>
      </c>
      <c r="R385" t="s">
        <v>29</v>
      </c>
      <c r="S385" t="s">
        <v>24</v>
      </c>
      <c r="T385" t="str">
        <f t="shared" si="10"/>
        <v>low risk</v>
      </c>
      <c r="U385" t="str">
        <f t="shared" si="11"/>
        <v>poor</v>
      </c>
    </row>
    <row r="386" spans="1:21">
      <c r="A386" t="s">
        <v>422</v>
      </c>
      <c r="B386">
        <v>55</v>
      </c>
      <c r="C386">
        <v>53756</v>
      </c>
      <c r="D386">
        <v>611</v>
      </c>
      <c r="E386">
        <v>0.82653049953942603</v>
      </c>
      <c r="F386">
        <v>0</v>
      </c>
      <c r="G386">
        <v>0</v>
      </c>
      <c r="H386">
        <v>94309</v>
      </c>
      <c r="I386">
        <v>0.13152993060141699</v>
      </c>
      <c r="J386" t="s">
        <v>34</v>
      </c>
      <c r="K386">
        <v>11</v>
      </c>
      <c r="L386" t="s">
        <v>27</v>
      </c>
      <c r="M386" t="s">
        <v>38</v>
      </c>
      <c r="N386" t="s">
        <v>24</v>
      </c>
      <c r="O386" t="s">
        <v>23</v>
      </c>
      <c r="P386" t="s">
        <v>23</v>
      </c>
      <c r="Q386" t="s">
        <v>24</v>
      </c>
      <c r="R386" t="s">
        <v>29</v>
      </c>
      <c r="S386" t="s">
        <v>24</v>
      </c>
      <c r="T386" t="str">
        <f t="shared" si="10"/>
        <v>low risk</v>
      </c>
      <c r="U386" t="str">
        <f t="shared" si="11"/>
        <v>poor</v>
      </c>
    </row>
    <row r="387" spans="1:21">
      <c r="A387" t="s">
        <v>423</v>
      </c>
      <c r="B387">
        <v>55</v>
      </c>
      <c r="C387">
        <v>109297</v>
      </c>
      <c r="D387">
        <v>806</v>
      </c>
      <c r="E387">
        <v>0.44781754677657298</v>
      </c>
      <c r="F387">
        <v>4</v>
      </c>
      <c r="G387">
        <v>0</v>
      </c>
      <c r="H387">
        <v>33354</v>
      </c>
      <c r="I387">
        <v>0.1</v>
      </c>
      <c r="J387" t="s">
        <v>20</v>
      </c>
      <c r="K387">
        <v>0</v>
      </c>
      <c r="L387" t="s">
        <v>45</v>
      </c>
      <c r="M387" t="s">
        <v>32</v>
      </c>
      <c r="N387" t="s">
        <v>24</v>
      </c>
      <c r="O387" t="s">
        <v>24</v>
      </c>
      <c r="P387" t="s">
        <v>29</v>
      </c>
      <c r="Q387" t="s">
        <v>23</v>
      </c>
      <c r="R387" t="s">
        <v>23</v>
      </c>
      <c r="S387" t="s">
        <v>29</v>
      </c>
      <c r="T387" t="str">
        <f t="shared" ref="T387:T450" si="12">IF(G387=1,"High risk", IF(F387&gt;= 2, "Medium risk", "low risk"))</f>
        <v>Medium risk</v>
      </c>
      <c r="U387" t="str">
        <f t="shared" ref="U387:U450" si="13">IF(COUNTIF(N387:S387,"Missed") &gt;= 3, "poor", IF(COUNTIF(N387:S387,"Missed") &gt;= 1, "average", "good"))</f>
        <v>average</v>
      </c>
    </row>
    <row r="388" spans="1:21">
      <c r="A388" t="s">
        <v>424</v>
      </c>
      <c r="B388">
        <v>62</v>
      </c>
      <c r="D388">
        <v>383</v>
      </c>
      <c r="E388">
        <v>0.68889819447823897</v>
      </c>
      <c r="F388">
        <v>4</v>
      </c>
      <c r="G388">
        <v>0</v>
      </c>
      <c r="H388">
        <v>48942</v>
      </c>
      <c r="I388">
        <v>0.45397407626758701</v>
      </c>
      <c r="J388" t="s">
        <v>40</v>
      </c>
      <c r="K388">
        <v>14</v>
      </c>
      <c r="L388" t="s">
        <v>31</v>
      </c>
      <c r="M388" t="s">
        <v>28</v>
      </c>
      <c r="N388" t="s">
        <v>23</v>
      </c>
      <c r="O388" t="s">
        <v>24</v>
      </c>
      <c r="P388" t="s">
        <v>23</v>
      </c>
      <c r="Q388" t="s">
        <v>24</v>
      </c>
      <c r="R388" t="s">
        <v>24</v>
      </c>
      <c r="S388" t="s">
        <v>29</v>
      </c>
      <c r="T388" t="str">
        <f t="shared" si="12"/>
        <v>Medium risk</v>
      </c>
      <c r="U388" t="str">
        <f t="shared" si="13"/>
        <v>poor</v>
      </c>
    </row>
    <row r="389" spans="1:21">
      <c r="A389" t="s">
        <v>425</v>
      </c>
      <c r="B389">
        <v>68</v>
      </c>
      <c r="C389">
        <v>53304</v>
      </c>
      <c r="D389">
        <v>469</v>
      </c>
      <c r="E389">
        <v>0.36215418595662802</v>
      </c>
      <c r="F389">
        <v>2</v>
      </c>
      <c r="G389">
        <v>0</v>
      </c>
      <c r="H389">
        <v>31674</v>
      </c>
      <c r="I389">
        <v>0.41059049859172703</v>
      </c>
      <c r="J389" t="s">
        <v>50</v>
      </c>
      <c r="K389">
        <v>3</v>
      </c>
      <c r="L389" t="s">
        <v>21</v>
      </c>
      <c r="M389" t="s">
        <v>22</v>
      </c>
      <c r="N389" t="s">
        <v>24</v>
      </c>
      <c r="O389" t="s">
        <v>23</v>
      </c>
      <c r="P389" t="s">
        <v>29</v>
      </c>
      <c r="Q389" t="s">
        <v>23</v>
      </c>
      <c r="R389" t="s">
        <v>29</v>
      </c>
      <c r="S389" t="s">
        <v>24</v>
      </c>
      <c r="T389" t="str">
        <f t="shared" si="12"/>
        <v>Medium risk</v>
      </c>
      <c r="U389" t="str">
        <f t="shared" si="13"/>
        <v>average</v>
      </c>
    </row>
    <row r="390" spans="1:21">
      <c r="A390" t="s">
        <v>426</v>
      </c>
      <c r="B390">
        <v>71</v>
      </c>
      <c r="C390">
        <v>173427</v>
      </c>
      <c r="D390">
        <v>550</v>
      </c>
      <c r="E390">
        <v>0.43950663235852899</v>
      </c>
      <c r="F390">
        <v>6</v>
      </c>
      <c r="G390">
        <v>0</v>
      </c>
      <c r="H390">
        <v>3081</v>
      </c>
      <c r="I390">
        <v>0.522601888576669</v>
      </c>
      <c r="J390" t="s">
        <v>43</v>
      </c>
      <c r="K390">
        <v>12</v>
      </c>
      <c r="L390" t="s">
        <v>21</v>
      </c>
      <c r="M390" t="s">
        <v>28</v>
      </c>
      <c r="N390" t="s">
        <v>24</v>
      </c>
      <c r="O390" t="s">
        <v>29</v>
      </c>
      <c r="P390" t="s">
        <v>24</v>
      </c>
      <c r="Q390" t="s">
        <v>23</v>
      </c>
      <c r="R390" t="s">
        <v>24</v>
      </c>
      <c r="S390" t="s">
        <v>24</v>
      </c>
      <c r="T390" t="str">
        <f t="shared" si="12"/>
        <v>Medium risk</v>
      </c>
      <c r="U390" t="str">
        <f t="shared" si="13"/>
        <v>poor</v>
      </c>
    </row>
    <row r="391" spans="1:21">
      <c r="A391" t="s">
        <v>427</v>
      </c>
      <c r="B391">
        <v>25</v>
      </c>
      <c r="C391">
        <v>140917</v>
      </c>
      <c r="D391">
        <v>725</v>
      </c>
      <c r="E391">
        <v>0.33700720308691101</v>
      </c>
      <c r="F391">
        <v>5</v>
      </c>
      <c r="G391">
        <v>1</v>
      </c>
      <c r="H391">
        <v>16454</v>
      </c>
      <c r="I391">
        <v>0.30109244855735501</v>
      </c>
      <c r="J391" t="s">
        <v>40</v>
      </c>
      <c r="K391">
        <v>4</v>
      </c>
      <c r="L391" t="s">
        <v>21</v>
      </c>
      <c r="M391" t="s">
        <v>32</v>
      </c>
      <c r="N391" t="s">
        <v>29</v>
      </c>
      <c r="O391" t="s">
        <v>24</v>
      </c>
      <c r="P391" t="s">
        <v>23</v>
      </c>
      <c r="Q391" t="s">
        <v>24</v>
      </c>
      <c r="R391" t="s">
        <v>24</v>
      </c>
      <c r="S391" t="s">
        <v>24</v>
      </c>
      <c r="T391" t="str">
        <f t="shared" si="12"/>
        <v>High risk</v>
      </c>
      <c r="U391" t="str">
        <f t="shared" si="13"/>
        <v>poor</v>
      </c>
    </row>
    <row r="392" spans="1:21">
      <c r="A392" t="s">
        <v>428</v>
      </c>
      <c r="B392">
        <v>44</v>
      </c>
      <c r="C392">
        <v>96317</v>
      </c>
      <c r="D392">
        <v>685</v>
      </c>
      <c r="E392">
        <v>7.3373392985897901E-2</v>
      </c>
      <c r="F392">
        <v>3</v>
      </c>
      <c r="G392">
        <v>0</v>
      </c>
      <c r="H392">
        <v>63375</v>
      </c>
      <c r="I392">
        <v>0.29434701166203098</v>
      </c>
      <c r="J392" t="s">
        <v>26</v>
      </c>
      <c r="K392">
        <v>1</v>
      </c>
      <c r="L392" t="s">
        <v>31</v>
      </c>
      <c r="M392" t="s">
        <v>38</v>
      </c>
      <c r="N392" t="s">
        <v>23</v>
      </c>
      <c r="O392" t="s">
        <v>23</v>
      </c>
      <c r="P392" t="s">
        <v>24</v>
      </c>
      <c r="Q392" t="s">
        <v>24</v>
      </c>
      <c r="R392" t="s">
        <v>29</v>
      </c>
      <c r="S392" t="s">
        <v>24</v>
      </c>
      <c r="T392" t="str">
        <f t="shared" si="12"/>
        <v>Medium risk</v>
      </c>
      <c r="U392" t="str">
        <f t="shared" si="13"/>
        <v>poor</v>
      </c>
    </row>
    <row r="393" spans="1:21">
      <c r="A393" t="s">
        <v>429</v>
      </c>
      <c r="B393">
        <v>44</v>
      </c>
      <c r="C393">
        <v>93832</v>
      </c>
      <c r="D393">
        <v>459</v>
      </c>
      <c r="E393">
        <v>0.49269333001627702</v>
      </c>
      <c r="F393">
        <v>0</v>
      </c>
      <c r="G393">
        <v>0</v>
      </c>
      <c r="H393">
        <v>11587</v>
      </c>
      <c r="I393">
        <v>0.26172812078414398</v>
      </c>
      <c r="J393" t="s">
        <v>34</v>
      </c>
      <c r="K393">
        <v>0</v>
      </c>
      <c r="L393" t="s">
        <v>27</v>
      </c>
      <c r="M393" t="s">
        <v>32</v>
      </c>
      <c r="N393" t="s">
        <v>23</v>
      </c>
      <c r="O393" t="s">
        <v>29</v>
      </c>
      <c r="P393" t="s">
        <v>23</v>
      </c>
      <c r="Q393" t="s">
        <v>23</v>
      </c>
      <c r="R393" t="s">
        <v>23</v>
      </c>
      <c r="S393" t="s">
        <v>24</v>
      </c>
      <c r="T393" t="str">
        <f t="shared" si="12"/>
        <v>low risk</v>
      </c>
      <c r="U393" t="str">
        <f t="shared" si="13"/>
        <v>average</v>
      </c>
    </row>
    <row r="394" spans="1:21">
      <c r="A394" t="s">
        <v>430</v>
      </c>
      <c r="B394">
        <v>51</v>
      </c>
      <c r="C394">
        <v>31896</v>
      </c>
      <c r="D394">
        <v>834</v>
      </c>
      <c r="E394">
        <v>0.52569034751955002</v>
      </c>
      <c r="F394">
        <v>4</v>
      </c>
      <c r="G394">
        <v>0</v>
      </c>
      <c r="H394">
        <v>49798</v>
      </c>
      <c r="I394">
        <v>0.23417097587407701</v>
      </c>
      <c r="J394" t="s">
        <v>26</v>
      </c>
      <c r="K394">
        <v>15</v>
      </c>
      <c r="L394" t="s">
        <v>37</v>
      </c>
      <c r="M394" t="s">
        <v>53</v>
      </c>
      <c r="N394" t="s">
        <v>23</v>
      </c>
      <c r="O394" t="s">
        <v>24</v>
      </c>
      <c r="P394" t="s">
        <v>29</v>
      </c>
      <c r="Q394" t="s">
        <v>29</v>
      </c>
      <c r="R394" t="s">
        <v>24</v>
      </c>
      <c r="S394" t="s">
        <v>23</v>
      </c>
      <c r="T394" t="str">
        <f t="shared" si="12"/>
        <v>Medium risk</v>
      </c>
      <c r="U394" t="str">
        <f t="shared" si="13"/>
        <v>average</v>
      </c>
    </row>
    <row r="395" spans="1:21">
      <c r="A395" t="s">
        <v>431</v>
      </c>
      <c r="B395">
        <v>38</v>
      </c>
      <c r="D395">
        <v>622</v>
      </c>
      <c r="E395">
        <v>0.71317219975232704</v>
      </c>
      <c r="F395">
        <v>5</v>
      </c>
      <c r="G395">
        <v>0</v>
      </c>
      <c r="H395">
        <v>44454</v>
      </c>
      <c r="I395">
        <v>0.260757044554218</v>
      </c>
      <c r="J395" t="s">
        <v>34</v>
      </c>
      <c r="K395">
        <v>5</v>
      </c>
      <c r="L395" t="s">
        <v>27</v>
      </c>
      <c r="M395" t="s">
        <v>53</v>
      </c>
      <c r="N395" t="s">
        <v>29</v>
      </c>
      <c r="O395" t="s">
        <v>24</v>
      </c>
      <c r="P395" t="s">
        <v>23</v>
      </c>
      <c r="Q395" t="s">
        <v>29</v>
      </c>
      <c r="R395" t="s">
        <v>24</v>
      </c>
      <c r="S395" t="s">
        <v>29</v>
      </c>
      <c r="T395" t="str">
        <f t="shared" si="12"/>
        <v>Medium risk</v>
      </c>
      <c r="U395" t="str">
        <f t="shared" si="13"/>
        <v>average</v>
      </c>
    </row>
    <row r="396" spans="1:21">
      <c r="A396" t="s">
        <v>432</v>
      </c>
      <c r="B396">
        <v>47</v>
      </c>
      <c r="C396">
        <v>70284</v>
      </c>
      <c r="D396">
        <v>528</v>
      </c>
      <c r="E396">
        <v>0.65908765053385698</v>
      </c>
      <c r="F396">
        <v>3</v>
      </c>
      <c r="G396">
        <v>0</v>
      </c>
      <c r="H396">
        <v>30575</v>
      </c>
      <c r="I396">
        <v>0.32174633323240198</v>
      </c>
      <c r="J396" t="s">
        <v>50</v>
      </c>
      <c r="K396">
        <v>15</v>
      </c>
      <c r="L396" t="s">
        <v>37</v>
      </c>
      <c r="M396" t="s">
        <v>28</v>
      </c>
      <c r="N396" t="s">
        <v>29</v>
      </c>
      <c r="O396" t="s">
        <v>23</v>
      </c>
      <c r="P396" t="s">
        <v>29</v>
      </c>
      <c r="Q396" t="s">
        <v>29</v>
      </c>
      <c r="R396" t="s">
        <v>24</v>
      </c>
      <c r="S396" t="s">
        <v>24</v>
      </c>
      <c r="T396" t="str">
        <f t="shared" si="12"/>
        <v>Medium risk</v>
      </c>
      <c r="U396" t="str">
        <f t="shared" si="13"/>
        <v>average</v>
      </c>
    </row>
    <row r="397" spans="1:21">
      <c r="A397" t="s">
        <v>433</v>
      </c>
      <c r="B397">
        <v>50</v>
      </c>
      <c r="C397">
        <v>72043</v>
      </c>
      <c r="D397">
        <v>308</v>
      </c>
      <c r="E397">
        <v>0.66179057980779898</v>
      </c>
      <c r="F397">
        <v>4</v>
      </c>
      <c r="G397">
        <v>0</v>
      </c>
      <c r="I397">
        <v>0.215609921308789</v>
      </c>
      <c r="J397" t="s">
        <v>40</v>
      </c>
      <c r="K397">
        <v>13</v>
      </c>
      <c r="L397" t="s">
        <v>21</v>
      </c>
      <c r="M397" t="s">
        <v>28</v>
      </c>
      <c r="N397" t="s">
        <v>29</v>
      </c>
      <c r="O397" t="s">
        <v>29</v>
      </c>
      <c r="P397" t="s">
        <v>29</v>
      </c>
      <c r="Q397" t="s">
        <v>24</v>
      </c>
      <c r="R397" t="s">
        <v>24</v>
      </c>
      <c r="S397" t="s">
        <v>23</v>
      </c>
      <c r="T397" t="str">
        <f t="shared" si="12"/>
        <v>Medium risk</v>
      </c>
      <c r="U397" t="str">
        <f t="shared" si="13"/>
        <v>average</v>
      </c>
    </row>
    <row r="398" spans="1:21">
      <c r="A398" t="s">
        <v>434</v>
      </c>
      <c r="B398">
        <v>45</v>
      </c>
      <c r="C398">
        <v>183152</v>
      </c>
      <c r="D398">
        <v>656</v>
      </c>
      <c r="E398">
        <v>0.30519275537642399</v>
      </c>
      <c r="F398">
        <v>4</v>
      </c>
      <c r="G398">
        <v>0</v>
      </c>
      <c r="H398">
        <v>24835</v>
      </c>
      <c r="I398">
        <v>0.13307106531260099</v>
      </c>
      <c r="J398" t="s">
        <v>50</v>
      </c>
      <c r="K398">
        <v>2</v>
      </c>
      <c r="L398" t="s">
        <v>27</v>
      </c>
      <c r="M398" t="s">
        <v>22</v>
      </c>
      <c r="N398" t="s">
        <v>29</v>
      </c>
      <c r="O398" t="s">
        <v>23</v>
      </c>
      <c r="P398" t="s">
        <v>29</v>
      </c>
      <c r="Q398" t="s">
        <v>24</v>
      </c>
      <c r="R398" t="s">
        <v>29</v>
      </c>
      <c r="S398" t="s">
        <v>23</v>
      </c>
      <c r="T398" t="str">
        <f t="shared" si="12"/>
        <v>Medium risk</v>
      </c>
      <c r="U398" t="str">
        <f t="shared" si="13"/>
        <v>average</v>
      </c>
    </row>
    <row r="399" spans="1:21">
      <c r="A399" t="s">
        <v>435</v>
      </c>
      <c r="B399">
        <v>64</v>
      </c>
      <c r="C399">
        <v>170576</v>
      </c>
      <c r="D399">
        <v>337</v>
      </c>
      <c r="E399">
        <v>0.59189946121413795</v>
      </c>
      <c r="F399">
        <v>0</v>
      </c>
      <c r="G399">
        <v>0</v>
      </c>
      <c r="H399">
        <v>19733</v>
      </c>
      <c r="I399">
        <v>0.31598766340141698</v>
      </c>
      <c r="J399" t="s">
        <v>20</v>
      </c>
      <c r="K399">
        <v>14</v>
      </c>
      <c r="L399" t="s">
        <v>21</v>
      </c>
      <c r="M399" t="s">
        <v>22</v>
      </c>
      <c r="N399" t="s">
        <v>23</v>
      </c>
      <c r="O399" t="s">
        <v>24</v>
      </c>
      <c r="P399" t="s">
        <v>24</v>
      </c>
      <c r="Q399" t="s">
        <v>23</v>
      </c>
      <c r="R399" t="s">
        <v>29</v>
      </c>
      <c r="S399" t="s">
        <v>24</v>
      </c>
      <c r="T399" t="str">
        <f t="shared" si="12"/>
        <v>low risk</v>
      </c>
      <c r="U399" t="str">
        <f t="shared" si="13"/>
        <v>poor</v>
      </c>
    </row>
    <row r="400" spans="1:21">
      <c r="A400" t="s">
        <v>436</v>
      </c>
      <c r="B400">
        <v>50</v>
      </c>
      <c r="C400">
        <v>198401</v>
      </c>
      <c r="D400">
        <v>523</v>
      </c>
      <c r="E400">
        <v>0.81651879309631803</v>
      </c>
      <c r="F400">
        <v>0</v>
      </c>
      <c r="G400">
        <v>0</v>
      </c>
      <c r="H400">
        <v>52217</v>
      </c>
      <c r="I400">
        <v>0.21338044013065599</v>
      </c>
      <c r="J400" t="s">
        <v>50</v>
      </c>
      <c r="K400">
        <v>2</v>
      </c>
      <c r="L400" t="s">
        <v>45</v>
      </c>
      <c r="M400" t="s">
        <v>53</v>
      </c>
      <c r="N400" t="s">
        <v>23</v>
      </c>
      <c r="O400" t="s">
        <v>24</v>
      </c>
      <c r="P400" t="s">
        <v>24</v>
      </c>
      <c r="Q400" t="s">
        <v>24</v>
      </c>
      <c r="R400" t="s">
        <v>23</v>
      </c>
      <c r="S400" t="s">
        <v>29</v>
      </c>
      <c r="T400" t="str">
        <f t="shared" si="12"/>
        <v>low risk</v>
      </c>
      <c r="U400" t="str">
        <f t="shared" si="13"/>
        <v>poor</v>
      </c>
    </row>
    <row r="401" spans="1:21">
      <c r="A401" t="s">
        <v>437</v>
      </c>
      <c r="B401">
        <v>22</v>
      </c>
      <c r="C401">
        <v>86726</v>
      </c>
      <c r="D401">
        <v>584</v>
      </c>
      <c r="E401">
        <v>0.57597357014181605</v>
      </c>
      <c r="F401">
        <v>4</v>
      </c>
      <c r="G401">
        <v>0</v>
      </c>
      <c r="H401">
        <v>60278</v>
      </c>
      <c r="I401">
        <v>0.1</v>
      </c>
      <c r="J401" t="s">
        <v>50</v>
      </c>
      <c r="K401">
        <v>1</v>
      </c>
      <c r="L401" t="s">
        <v>21</v>
      </c>
      <c r="M401" t="s">
        <v>38</v>
      </c>
      <c r="N401" t="s">
        <v>29</v>
      </c>
      <c r="O401" t="s">
        <v>23</v>
      </c>
      <c r="P401" t="s">
        <v>29</v>
      </c>
      <c r="Q401" t="s">
        <v>23</v>
      </c>
      <c r="R401" t="s">
        <v>24</v>
      </c>
      <c r="S401" t="s">
        <v>29</v>
      </c>
      <c r="T401" t="str">
        <f t="shared" si="12"/>
        <v>Medium risk</v>
      </c>
      <c r="U401" t="str">
        <f t="shared" si="13"/>
        <v>average</v>
      </c>
    </row>
    <row r="402" spans="1:21">
      <c r="A402" t="s">
        <v>438</v>
      </c>
      <c r="B402">
        <v>65</v>
      </c>
      <c r="C402">
        <v>180421</v>
      </c>
      <c r="D402">
        <v>762</v>
      </c>
      <c r="E402">
        <v>0.86571872261299898</v>
      </c>
      <c r="F402">
        <v>1</v>
      </c>
      <c r="G402">
        <v>0</v>
      </c>
      <c r="H402">
        <v>91557</v>
      </c>
      <c r="I402">
        <v>0.35525673906570099</v>
      </c>
      <c r="J402" t="s">
        <v>20</v>
      </c>
      <c r="K402">
        <v>0</v>
      </c>
      <c r="L402" t="s">
        <v>21</v>
      </c>
      <c r="M402" t="s">
        <v>32</v>
      </c>
      <c r="N402" t="s">
        <v>24</v>
      </c>
      <c r="O402" t="s">
        <v>24</v>
      </c>
      <c r="P402" t="s">
        <v>29</v>
      </c>
      <c r="Q402" t="s">
        <v>29</v>
      </c>
      <c r="R402" t="s">
        <v>24</v>
      </c>
      <c r="S402" t="s">
        <v>23</v>
      </c>
      <c r="T402" t="str">
        <f t="shared" si="12"/>
        <v>low risk</v>
      </c>
      <c r="U402" t="str">
        <f t="shared" si="13"/>
        <v>poor</v>
      </c>
    </row>
    <row r="403" spans="1:21">
      <c r="A403" t="s">
        <v>439</v>
      </c>
      <c r="B403">
        <v>36</v>
      </c>
      <c r="C403">
        <v>107658</v>
      </c>
      <c r="D403">
        <v>306</v>
      </c>
      <c r="E403">
        <v>0.90379322222397196</v>
      </c>
      <c r="F403">
        <v>4</v>
      </c>
      <c r="G403">
        <v>0</v>
      </c>
      <c r="H403">
        <v>55345</v>
      </c>
      <c r="I403">
        <v>0.189194096188297</v>
      </c>
      <c r="J403" t="s">
        <v>34</v>
      </c>
      <c r="K403">
        <v>8</v>
      </c>
      <c r="L403" t="s">
        <v>37</v>
      </c>
      <c r="M403" t="s">
        <v>22</v>
      </c>
      <c r="N403" t="s">
        <v>29</v>
      </c>
      <c r="O403" t="s">
        <v>24</v>
      </c>
      <c r="P403" t="s">
        <v>24</v>
      </c>
      <c r="Q403" t="s">
        <v>29</v>
      </c>
      <c r="R403" t="s">
        <v>23</v>
      </c>
      <c r="S403" t="s">
        <v>23</v>
      </c>
      <c r="T403" t="str">
        <f t="shared" si="12"/>
        <v>Medium risk</v>
      </c>
      <c r="U403" t="str">
        <f t="shared" si="13"/>
        <v>average</v>
      </c>
    </row>
    <row r="404" spans="1:21">
      <c r="A404" t="s">
        <v>440</v>
      </c>
      <c r="B404">
        <v>21</v>
      </c>
      <c r="C404">
        <v>57318</v>
      </c>
      <c r="D404">
        <v>770</v>
      </c>
      <c r="E404">
        <v>0.44630634594167001</v>
      </c>
      <c r="F404">
        <v>5</v>
      </c>
      <c r="G404">
        <v>1</v>
      </c>
      <c r="H404">
        <v>3091</v>
      </c>
      <c r="I404">
        <v>0.36617894546907298</v>
      </c>
      <c r="J404" t="s">
        <v>20</v>
      </c>
      <c r="K404">
        <v>8</v>
      </c>
      <c r="L404" t="s">
        <v>45</v>
      </c>
      <c r="M404" t="s">
        <v>22</v>
      </c>
      <c r="N404" t="s">
        <v>29</v>
      </c>
      <c r="O404" t="s">
        <v>29</v>
      </c>
      <c r="P404" t="s">
        <v>29</v>
      </c>
      <c r="Q404" t="s">
        <v>23</v>
      </c>
      <c r="R404" t="s">
        <v>23</v>
      </c>
      <c r="S404" t="s">
        <v>29</v>
      </c>
      <c r="T404" t="str">
        <f t="shared" si="12"/>
        <v>High risk</v>
      </c>
      <c r="U404" t="str">
        <f t="shared" si="13"/>
        <v>good</v>
      </c>
    </row>
    <row r="405" spans="1:21">
      <c r="A405" t="s">
        <v>441</v>
      </c>
      <c r="B405">
        <v>52</v>
      </c>
      <c r="C405">
        <v>38524</v>
      </c>
      <c r="D405">
        <v>563</v>
      </c>
      <c r="E405">
        <v>0.36061205098388499</v>
      </c>
      <c r="F405">
        <v>4</v>
      </c>
      <c r="G405">
        <v>0</v>
      </c>
      <c r="H405">
        <v>32207</v>
      </c>
      <c r="I405">
        <v>0.36378481065159801</v>
      </c>
      <c r="J405" t="s">
        <v>40</v>
      </c>
      <c r="K405">
        <v>6</v>
      </c>
      <c r="L405" t="s">
        <v>21</v>
      </c>
      <c r="M405" t="s">
        <v>38</v>
      </c>
      <c r="N405" t="s">
        <v>29</v>
      </c>
      <c r="O405" t="s">
        <v>29</v>
      </c>
      <c r="P405" t="s">
        <v>24</v>
      </c>
      <c r="Q405" t="s">
        <v>29</v>
      </c>
      <c r="R405" t="s">
        <v>23</v>
      </c>
      <c r="S405" t="s">
        <v>24</v>
      </c>
      <c r="T405" t="str">
        <f t="shared" si="12"/>
        <v>Medium risk</v>
      </c>
      <c r="U405" t="str">
        <f t="shared" si="13"/>
        <v>average</v>
      </c>
    </row>
    <row r="406" spans="1:21">
      <c r="A406" t="s">
        <v>442</v>
      </c>
      <c r="B406">
        <v>66</v>
      </c>
      <c r="C406">
        <v>161377</v>
      </c>
      <c r="D406">
        <v>380</v>
      </c>
      <c r="E406">
        <v>0.34770756691620902</v>
      </c>
      <c r="F406">
        <v>2</v>
      </c>
      <c r="G406">
        <v>0</v>
      </c>
      <c r="H406">
        <v>98999</v>
      </c>
      <c r="I406">
        <v>0.328359001152283</v>
      </c>
      <c r="J406" t="s">
        <v>50</v>
      </c>
      <c r="K406">
        <v>2</v>
      </c>
      <c r="L406" t="s">
        <v>21</v>
      </c>
      <c r="M406" t="s">
        <v>38</v>
      </c>
      <c r="N406" t="s">
        <v>23</v>
      </c>
      <c r="O406" t="s">
        <v>29</v>
      </c>
      <c r="P406" t="s">
        <v>29</v>
      </c>
      <c r="Q406" t="s">
        <v>29</v>
      </c>
      <c r="R406" t="s">
        <v>24</v>
      </c>
      <c r="S406" t="s">
        <v>24</v>
      </c>
      <c r="T406" t="str">
        <f t="shared" si="12"/>
        <v>Medium risk</v>
      </c>
      <c r="U406" t="str">
        <f t="shared" si="13"/>
        <v>average</v>
      </c>
    </row>
    <row r="407" spans="1:21">
      <c r="A407" t="s">
        <v>443</v>
      </c>
      <c r="B407">
        <v>34</v>
      </c>
      <c r="C407">
        <v>119573</v>
      </c>
      <c r="D407">
        <v>360</v>
      </c>
      <c r="E407">
        <v>0.19677283597935499</v>
      </c>
      <c r="F407">
        <v>6</v>
      </c>
      <c r="G407">
        <v>0</v>
      </c>
      <c r="H407">
        <v>90739</v>
      </c>
      <c r="I407">
        <v>0.54968178403564905</v>
      </c>
      <c r="J407" t="s">
        <v>20</v>
      </c>
      <c r="K407">
        <v>17</v>
      </c>
      <c r="L407" t="s">
        <v>45</v>
      </c>
      <c r="M407" t="s">
        <v>28</v>
      </c>
      <c r="N407" t="s">
        <v>24</v>
      </c>
      <c r="O407" t="s">
        <v>23</v>
      </c>
      <c r="P407" t="s">
        <v>23</v>
      </c>
      <c r="Q407" t="s">
        <v>23</v>
      </c>
      <c r="R407" t="s">
        <v>24</v>
      </c>
      <c r="S407" t="s">
        <v>23</v>
      </c>
      <c r="T407" t="str">
        <f t="shared" si="12"/>
        <v>Medium risk</v>
      </c>
      <c r="U407" t="str">
        <f t="shared" si="13"/>
        <v>average</v>
      </c>
    </row>
    <row r="408" spans="1:21">
      <c r="A408" t="s">
        <v>444</v>
      </c>
      <c r="B408">
        <v>61</v>
      </c>
      <c r="C408">
        <v>167617</v>
      </c>
      <c r="D408">
        <v>638</v>
      </c>
      <c r="E408">
        <v>0.39631942011689503</v>
      </c>
      <c r="F408">
        <v>2</v>
      </c>
      <c r="G408">
        <v>0</v>
      </c>
      <c r="H408">
        <v>85780</v>
      </c>
      <c r="I408">
        <v>0.286194815002762</v>
      </c>
      <c r="J408" t="s">
        <v>50</v>
      </c>
      <c r="K408">
        <v>10</v>
      </c>
      <c r="L408" t="s">
        <v>45</v>
      </c>
      <c r="M408" t="s">
        <v>32</v>
      </c>
      <c r="N408" t="s">
        <v>24</v>
      </c>
      <c r="O408" t="s">
        <v>29</v>
      </c>
      <c r="P408" t="s">
        <v>24</v>
      </c>
      <c r="Q408" t="s">
        <v>29</v>
      </c>
      <c r="R408" t="s">
        <v>29</v>
      </c>
      <c r="S408" t="s">
        <v>23</v>
      </c>
      <c r="T408" t="str">
        <f t="shared" si="12"/>
        <v>Medium risk</v>
      </c>
      <c r="U408" t="str">
        <f t="shared" si="13"/>
        <v>average</v>
      </c>
    </row>
    <row r="409" spans="1:21">
      <c r="A409" t="s">
        <v>445</v>
      </c>
      <c r="B409">
        <v>45</v>
      </c>
      <c r="D409">
        <v>627</v>
      </c>
      <c r="E409">
        <v>0.741533089951249</v>
      </c>
      <c r="F409">
        <v>2</v>
      </c>
      <c r="G409">
        <v>0</v>
      </c>
      <c r="H409">
        <v>44303</v>
      </c>
      <c r="I409">
        <v>0.27143604325014098</v>
      </c>
      <c r="J409" t="s">
        <v>40</v>
      </c>
      <c r="K409">
        <v>6</v>
      </c>
      <c r="L409" t="s">
        <v>27</v>
      </c>
      <c r="M409" t="s">
        <v>38</v>
      </c>
      <c r="N409" t="s">
        <v>29</v>
      </c>
      <c r="O409" t="s">
        <v>24</v>
      </c>
      <c r="P409" t="s">
        <v>29</v>
      </c>
      <c r="Q409" t="s">
        <v>23</v>
      </c>
      <c r="R409" t="s">
        <v>24</v>
      </c>
      <c r="S409" t="s">
        <v>24</v>
      </c>
      <c r="T409" t="str">
        <f t="shared" si="12"/>
        <v>Medium risk</v>
      </c>
      <c r="U409" t="str">
        <f t="shared" si="13"/>
        <v>poor</v>
      </c>
    </row>
    <row r="410" spans="1:21">
      <c r="A410" t="s">
        <v>446</v>
      </c>
      <c r="B410">
        <v>47</v>
      </c>
      <c r="C410">
        <v>71570</v>
      </c>
      <c r="D410">
        <v>341</v>
      </c>
      <c r="E410">
        <v>5.9192484949751899E-2</v>
      </c>
      <c r="F410">
        <v>1</v>
      </c>
      <c r="G410">
        <v>0</v>
      </c>
      <c r="H410">
        <v>39582</v>
      </c>
      <c r="I410">
        <v>0.36836724214169098</v>
      </c>
      <c r="J410" t="s">
        <v>26</v>
      </c>
      <c r="K410">
        <v>8</v>
      </c>
      <c r="L410" t="s">
        <v>37</v>
      </c>
      <c r="M410" t="s">
        <v>22</v>
      </c>
      <c r="N410" t="s">
        <v>29</v>
      </c>
      <c r="O410" t="s">
        <v>23</v>
      </c>
      <c r="P410" t="s">
        <v>23</v>
      </c>
      <c r="Q410" t="s">
        <v>23</v>
      </c>
      <c r="R410" t="s">
        <v>29</v>
      </c>
      <c r="S410" t="s">
        <v>23</v>
      </c>
      <c r="T410" t="str">
        <f t="shared" si="12"/>
        <v>low risk</v>
      </c>
      <c r="U410" t="str">
        <f t="shared" si="13"/>
        <v>good</v>
      </c>
    </row>
    <row r="411" spans="1:21">
      <c r="A411" t="s">
        <v>447</v>
      </c>
      <c r="B411">
        <v>46</v>
      </c>
      <c r="C411">
        <v>165580</v>
      </c>
      <c r="D411">
        <v>734</v>
      </c>
      <c r="E411">
        <v>0.29250931985724998</v>
      </c>
      <c r="F411">
        <v>1</v>
      </c>
      <c r="G411">
        <v>0</v>
      </c>
      <c r="H411">
        <v>1217</v>
      </c>
      <c r="I411">
        <v>0.29445526378862003</v>
      </c>
      <c r="J411" t="s">
        <v>40</v>
      </c>
      <c r="K411">
        <v>0</v>
      </c>
      <c r="L411" t="s">
        <v>45</v>
      </c>
      <c r="M411" t="s">
        <v>22</v>
      </c>
      <c r="N411" t="s">
        <v>29</v>
      </c>
      <c r="O411" t="s">
        <v>23</v>
      </c>
      <c r="P411" t="s">
        <v>24</v>
      </c>
      <c r="Q411" t="s">
        <v>29</v>
      </c>
      <c r="R411" t="s">
        <v>24</v>
      </c>
      <c r="S411" t="s">
        <v>29</v>
      </c>
      <c r="T411" t="str">
        <f t="shared" si="12"/>
        <v>low risk</v>
      </c>
      <c r="U411" t="str">
        <f t="shared" si="13"/>
        <v>average</v>
      </c>
    </row>
    <row r="412" spans="1:21">
      <c r="A412" t="s">
        <v>448</v>
      </c>
      <c r="B412">
        <v>63</v>
      </c>
      <c r="C412">
        <v>154487</v>
      </c>
      <c r="D412">
        <v>595</v>
      </c>
      <c r="E412">
        <v>0.4745737116696</v>
      </c>
      <c r="F412">
        <v>4</v>
      </c>
      <c r="G412">
        <v>0</v>
      </c>
      <c r="H412">
        <v>89616</v>
      </c>
      <c r="I412">
        <v>0.4160493537394</v>
      </c>
      <c r="J412" t="s">
        <v>43</v>
      </c>
      <c r="K412">
        <v>13</v>
      </c>
      <c r="L412" t="s">
        <v>45</v>
      </c>
      <c r="M412" t="s">
        <v>53</v>
      </c>
      <c r="N412" t="s">
        <v>29</v>
      </c>
      <c r="O412" t="s">
        <v>24</v>
      </c>
      <c r="P412" t="s">
        <v>24</v>
      </c>
      <c r="Q412" t="s">
        <v>24</v>
      </c>
      <c r="R412" t="s">
        <v>23</v>
      </c>
      <c r="S412" t="s">
        <v>24</v>
      </c>
      <c r="T412" t="str">
        <f t="shared" si="12"/>
        <v>Medium risk</v>
      </c>
      <c r="U412" t="str">
        <f t="shared" si="13"/>
        <v>poor</v>
      </c>
    </row>
    <row r="413" spans="1:21">
      <c r="A413" t="s">
        <v>449</v>
      </c>
      <c r="B413">
        <v>70</v>
      </c>
      <c r="C413">
        <v>130359</v>
      </c>
      <c r="D413">
        <v>835</v>
      </c>
      <c r="E413">
        <v>0.32456295987565997</v>
      </c>
      <c r="F413">
        <v>2</v>
      </c>
      <c r="G413">
        <v>0</v>
      </c>
      <c r="H413">
        <v>47906</v>
      </c>
      <c r="I413">
        <v>0.17311940924244701</v>
      </c>
      <c r="J413" t="s">
        <v>43</v>
      </c>
      <c r="K413">
        <v>19</v>
      </c>
      <c r="L413" t="s">
        <v>31</v>
      </c>
      <c r="M413" t="s">
        <v>38</v>
      </c>
      <c r="N413" t="s">
        <v>24</v>
      </c>
      <c r="O413" t="s">
        <v>29</v>
      </c>
      <c r="P413" t="s">
        <v>23</v>
      </c>
      <c r="Q413" t="s">
        <v>23</v>
      </c>
      <c r="R413" t="s">
        <v>23</v>
      </c>
      <c r="S413" t="s">
        <v>24</v>
      </c>
      <c r="T413" t="str">
        <f t="shared" si="12"/>
        <v>Medium risk</v>
      </c>
      <c r="U413" t="str">
        <f t="shared" si="13"/>
        <v>average</v>
      </c>
    </row>
    <row r="414" spans="1:21">
      <c r="A414" t="s">
        <v>450</v>
      </c>
      <c r="B414">
        <v>23</v>
      </c>
      <c r="C414">
        <v>58919</v>
      </c>
      <c r="D414">
        <v>784</v>
      </c>
      <c r="E414">
        <v>0.394542811151955</v>
      </c>
      <c r="F414">
        <v>1</v>
      </c>
      <c r="G414">
        <v>0</v>
      </c>
      <c r="I414">
        <v>0.17478255525356501</v>
      </c>
      <c r="J414" t="s">
        <v>43</v>
      </c>
      <c r="K414">
        <v>5</v>
      </c>
      <c r="L414" t="s">
        <v>45</v>
      </c>
      <c r="M414" t="s">
        <v>28</v>
      </c>
      <c r="N414" t="s">
        <v>24</v>
      </c>
      <c r="O414" t="s">
        <v>29</v>
      </c>
      <c r="P414" t="s">
        <v>23</v>
      </c>
      <c r="Q414" t="s">
        <v>24</v>
      </c>
      <c r="R414" t="s">
        <v>29</v>
      </c>
      <c r="S414" t="s">
        <v>23</v>
      </c>
      <c r="T414" t="str">
        <f t="shared" si="12"/>
        <v>low risk</v>
      </c>
      <c r="U414" t="str">
        <f t="shared" si="13"/>
        <v>average</v>
      </c>
    </row>
    <row r="415" spans="1:21">
      <c r="A415" t="s">
        <v>451</v>
      </c>
      <c r="B415">
        <v>52</v>
      </c>
      <c r="C415">
        <v>109074</v>
      </c>
      <c r="D415">
        <v>401</v>
      </c>
      <c r="E415">
        <v>0.39753406511553901</v>
      </c>
      <c r="F415">
        <v>0</v>
      </c>
      <c r="G415">
        <v>0</v>
      </c>
      <c r="H415">
        <v>61210</v>
      </c>
      <c r="I415">
        <v>0.37658094913262102</v>
      </c>
      <c r="J415" t="s">
        <v>50</v>
      </c>
      <c r="K415">
        <v>6</v>
      </c>
      <c r="L415" t="s">
        <v>37</v>
      </c>
      <c r="M415" t="s">
        <v>32</v>
      </c>
      <c r="N415" t="s">
        <v>23</v>
      </c>
      <c r="O415" t="s">
        <v>24</v>
      </c>
      <c r="P415" t="s">
        <v>29</v>
      </c>
      <c r="Q415" t="s">
        <v>29</v>
      </c>
      <c r="R415" t="s">
        <v>24</v>
      </c>
      <c r="S415" t="s">
        <v>24</v>
      </c>
      <c r="T415" t="str">
        <f t="shared" si="12"/>
        <v>low risk</v>
      </c>
      <c r="U415" t="str">
        <f t="shared" si="13"/>
        <v>poor</v>
      </c>
    </row>
    <row r="416" spans="1:21">
      <c r="A416" t="s">
        <v>452</v>
      </c>
      <c r="B416">
        <v>58</v>
      </c>
      <c r="C416">
        <v>152326</v>
      </c>
      <c r="D416">
        <v>474</v>
      </c>
      <c r="E416">
        <v>0.44849195598765002</v>
      </c>
      <c r="F416">
        <v>4</v>
      </c>
      <c r="G416">
        <v>1</v>
      </c>
      <c r="H416">
        <v>5626</v>
      </c>
      <c r="I416">
        <v>0.18351890606613899</v>
      </c>
      <c r="J416" t="s">
        <v>34</v>
      </c>
      <c r="K416">
        <v>9</v>
      </c>
      <c r="L416" t="s">
        <v>21</v>
      </c>
      <c r="M416" t="s">
        <v>28</v>
      </c>
      <c r="N416" t="s">
        <v>29</v>
      </c>
      <c r="O416" t="s">
        <v>24</v>
      </c>
      <c r="P416" t="s">
        <v>23</v>
      </c>
      <c r="Q416" t="s">
        <v>24</v>
      </c>
      <c r="R416" t="s">
        <v>29</v>
      </c>
      <c r="S416" t="s">
        <v>23</v>
      </c>
      <c r="T416" t="str">
        <f t="shared" si="12"/>
        <v>High risk</v>
      </c>
      <c r="U416" t="str">
        <f t="shared" si="13"/>
        <v>average</v>
      </c>
    </row>
    <row r="417" spans="1:21">
      <c r="A417" t="s">
        <v>453</v>
      </c>
      <c r="B417">
        <v>54</v>
      </c>
      <c r="C417">
        <v>40934</v>
      </c>
      <c r="D417">
        <v>694</v>
      </c>
      <c r="E417">
        <v>0.35410906077805199</v>
      </c>
      <c r="F417">
        <v>5</v>
      </c>
      <c r="G417">
        <v>0</v>
      </c>
      <c r="H417">
        <v>62561</v>
      </c>
      <c r="I417">
        <v>0.360909860644271</v>
      </c>
      <c r="J417" t="s">
        <v>34</v>
      </c>
      <c r="K417">
        <v>6</v>
      </c>
      <c r="L417" t="s">
        <v>21</v>
      </c>
      <c r="M417" t="s">
        <v>22</v>
      </c>
      <c r="N417" t="s">
        <v>24</v>
      </c>
      <c r="O417" t="s">
        <v>23</v>
      </c>
      <c r="P417" t="s">
        <v>23</v>
      </c>
      <c r="Q417" t="s">
        <v>29</v>
      </c>
      <c r="R417" t="s">
        <v>24</v>
      </c>
      <c r="S417" t="s">
        <v>23</v>
      </c>
      <c r="T417" t="str">
        <f t="shared" si="12"/>
        <v>Medium risk</v>
      </c>
      <c r="U417" t="str">
        <f t="shared" si="13"/>
        <v>average</v>
      </c>
    </row>
    <row r="418" spans="1:21">
      <c r="A418" t="s">
        <v>454</v>
      </c>
      <c r="B418">
        <v>41</v>
      </c>
      <c r="C418">
        <v>126888</v>
      </c>
      <c r="D418">
        <v>793</v>
      </c>
      <c r="E418">
        <v>0.33775735722889</v>
      </c>
      <c r="F418">
        <v>6</v>
      </c>
      <c r="G418">
        <v>0</v>
      </c>
      <c r="H418">
        <v>63412</v>
      </c>
      <c r="I418">
        <v>0.33700028462103598</v>
      </c>
      <c r="J418" t="s">
        <v>34</v>
      </c>
      <c r="K418">
        <v>1</v>
      </c>
      <c r="L418" t="s">
        <v>21</v>
      </c>
      <c r="M418" t="s">
        <v>28</v>
      </c>
      <c r="N418" t="s">
        <v>23</v>
      </c>
      <c r="O418" t="s">
        <v>29</v>
      </c>
      <c r="P418" t="s">
        <v>29</v>
      </c>
      <c r="Q418" t="s">
        <v>23</v>
      </c>
      <c r="R418" t="s">
        <v>24</v>
      </c>
      <c r="S418" t="s">
        <v>23</v>
      </c>
      <c r="T418" t="str">
        <f t="shared" si="12"/>
        <v>Medium risk</v>
      </c>
      <c r="U418" t="str">
        <f t="shared" si="13"/>
        <v>average</v>
      </c>
    </row>
    <row r="419" spans="1:21">
      <c r="A419" t="s">
        <v>455</v>
      </c>
      <c r="B419">
        <v>46</v>
      </c>
      <c r="C419">
        <v>73243</v>
      </c>
      <c r="D419">
        <v>595</v>
      </c>
      <c r="E419">
        <v>0.68686194918424603</v>
      </c>
      <c r="F419">
        <v>3</v>
      </c>
      <c r="G419">
        <v>0</v>
      </c>
      <c r="H419">
        <v>62253</v>
      </c>
      <c r="I419">
        <v>0.230551171397233</v>
      </c>
      <c r="J419" t="s">
        <v>50</v>
      </c>
      <c r="K419">
        <v>3</v>
      </c>
      <c r="L419" t="s">
        <v>21</v>
      </c>
      <c r="M419" t="s">
        <v>22</v>
      </c>
      <c r="N419" t="s">
        <v>23</v>
      </c>
      <c r="O419" t="s">
        <v>23</v>
      </c>
      <c r="P419" t="s">
        <v>23</v>
      </c>
      <c r="Q419" t="s">
        <v>29</v>
      </c>
      <c r="R419" t="s">
        <v>29</v>
      </c>
      <c r="S419" t="s">
        <v>23</v>
      </c>
      <c r="T419" t="str">
        <f t="shared" si="12"/>
        <v>Medium risk</v>
      </c>
      <c r="U419" t="str">
        <f t="shared" si="13"/>
        <v>good</v>
      </c>
    </row>
    <row r="420" spans="1:21">
      <c r="A420" t="s">
        <v>456</v>
      </c>
      <c r="B420">
        <v>66</v>
      </c>
      <c r="D420">
        <v>452</v>
      </c>
      <c r="E420">
        <v>0.70993083557206904</v>
      </c>
      <c r="F420">
        <v>4</v>
      </c>
      <c r="G420">
        <v>0</v>
      </c>
      <c r="H420">
        <v>46333</v>
      </c>
      <c r="I420">
        <v>0.33671701602334297</v>
      </c>
      <c r="J420" t="s">
        <v>40</v>
      </c>
      <c r="K420">
        <v>16</v>
      </c>
      <c r="L420" t="s">
        <v>31</v>
      </c>
      <c r="M420" t="s">
        <v>22</v>
      </c>
      <c r="N420" t="s">
        <v>23</v>
      </c>
      <c r="O420" t="s">
        <v>23</v>
      </c>
      <c r="P420" t="s">
        <v>23</v>
      </c>
      <c r="Q420" t="s">
        <v>23</v>
      </c>
      <c r="R420" t="s">
        <v>29</v>
      </c>
      <c r="S420" t="s">
        <v>29</v>
      </c>
      <c r="T420" t="str">
        <f t="shared" si="12"/>
        <v>Medium risk</v>
      </c>
      <c r="U420" t="str">
        <f t="shared" si="13"/>
        <v>good</v>
      </c>
    </row>
    <row r="421" spans="1:21">
      <c r="A421" t="s">
        <v>457</v>
      </c>
      <c r="B421">
        <v>63</v>
      </c>
      <c r="C421">
        <v>65990</v>
      </c>
      <c r="D421">
        <v>766</v>
      </c>
      <c r="E421">
        <v>0.223891330950518</v>
      </c>
      <c r="F421">
        <v>3</v>
      </c>
      <c r="G421">
        <v>0</v>
      </c>
      <c r="H421">
        <v>62253</v>
      </c>
      <c r="I421">
        <v>0.17654075542157599</v>
      </c>
      <c r="J421" t="s">
        <v>34</v>
      </c>
      <c r="K421">
        <v>0</v>
      </c>
      <c r="L421" t="s">
        <v>45</v>
      </c>
      <c r="M421" t="s">
        <v>22</v>
      </c>
      <c r="N421" t="s">
        <v>23</v>
      </c>
      <c r="O421" t="s">
        <v>23</v>
      </c>
      <c r="P421" t="s">
        <v>23</v>
      </c>
      <c r="Q421" t="s">
        <v>29</v>
      </c>
      <c r="R421" t="s">
        <v>29</v>
      </c>
      <c r="S421" t="s">
        <v>24</v>
      </c>
      <c r="T421" t="str">
        <f t="shared" si="12"/>
        <v>Medium risk</v>
      </c>
      <c r="U421" t="str">
        <f t="shared" si="13"/>
        <v>average</v>
      </c>
    </row>
    <row r="422" spans="1:21">
      <c r="A422" t="s">
        <v>458</v>
      </c>
      <c r="B422">
        <v>70</v>
      </c>
      <c r="C422">
        <v>180983</v>
      </c>
      <c r="D422">
        <v>711</v>
      </c>
      <c r="E422">
        <v>0.05</v>
      </c>
      <c r="F422">
        <v>2</v>
      </c>
      <c r="G422">
        <v>0</v>
      </c>
      <c r="H422">
        <v>73733</v>
      </c>
      <c r="I422">
        <v>0.20001000737362901</v>
      </c>
      <c r="J422" t="s">
        <v>26</v>
      </c>
      <c r="K422">
        <v>9</v>
      </c>
      <c r="L422" t="s">
        <v>21</v>
      </c>
      <c r="M422" t="s">
        <v>22</v>
      </c>
      <c r="N422" t="s">
        <v>24</v>
      </c>
      <c r="O422" t="s">
        <v>24</v>
      </c>
      <c r="P422" t="s">
        <v>23</v>
      </c>
      <c r="Q422" t="s">
        <v>24</v>
      </c>
      <c r="R422" t="s">
        <v>29</v>
      </c>
      <c r="S422" t="s">
        <v>24</v>
      </c>
      <c r="T422" t="str">
        <f t="shared" si="12"/>
        <v>Medium risk</v>
      </c>
      <c r="U422" t="str">
        <f t="shared" si="13"/>
        <v>poor</v>
      </c>
    </row>
    <row r="423" spans="1:21">
      <c r="A423" t="s">
        <v>459</v>
      </c>
      <c r="B423">
        <v>48</v>
      </c>
      <c r="C423">
        <v>196415</v>
      </c>
      <c r="D423">
        <v>415</v>
      </c>
      <c r="E423">
        <v>0.712674969914186</v>
      </c>
      <c r="F423">
        <v>6</v>
      </c>
      <c r="G423">
        <v>0</v>
      </c>
      <c r="H423">
        <v>95276</v>
      </c>
      <c r="I423">
        <v>0.27628122615879303</v>
      </c>
      <c r="J423" t="s">
        <v>43</v>
      </c>
      <c r="K423">
        <v>18</v>
      </c>
      <c r="L423" t="s">
        <v>27</v>
      </c>
      <c r="M423" t="s">
        <v>22</v>
      </c>
      <c r="N423" t="s">
        <v>29</v>
      </c>
      <c r="O423" t="s">
        <v>23</v>
      </c>
      <c r="P423" t="s">
        <v>23</v>
      </c>
      <c r="Q423" t="s">
        <v>29</v>
      </c>
      <c r="R423" t="s">
        <v>24</v>
      </c>
      <c r="S423" t="s">
        <v>24</v>
      </c>
      <c r="T423" t="str">
        <f t="shared" si="12"/>
        <v>Medium risk</v>
      </c>
      <c r="U423" t="str">
        <f t="shared" si="13"/>
        <v>average</v>
      </c>
    </row>
    <row r="424" spans="1:21">
      <c r="A424" t="s">
        <v>460</v>
      </c>
      <c r="B424">
        <v>52</v>
      </c>
      <c r="C424">
        <v>179506</v>
      </c>
      <c r="D424">
        <v>398</v>
      </c>
      <c r="E424">
        <v>0.25423991628957199</v>
      </c>
      <c r="F424">
        <v>3</v>
      </c>
      <c r="G424">
        <v>0</v>
      </c>
      <c r="H424">
        <v>59691</v>
      </c>
      <c r="I424">
        <v>0.30789278190722202</v>
      </c>
      <c r="J424" t="s">
        <v>40</v>
      </c>
      <c r="K424">
        <v>14</v>
      </c>
      <c r="L424" t="s">
        <v>21</v>
      </c>
      <c r="M424" t="s">
        <v>53</v>
      </c>
      <c r="N424" t="s">
        <v>29</v>
      </c>
      <c r="O424" t="s">
        <v>23</v>
      </c>
      <c r="P424" t="s">
        <v>24</v>
      </c>
      <c r="Q424" t="s">
        <v>29</v>
      </c>
      <c r="R424" t="s">
        <v>29</v>
      </c>
      <c r="S424" t="s">
        <v>24</v>
      </c>
      <c r="T424" t="str">
        <f t="shared" si="12"/>
        <v>Medium risk</v>
      </c>
      <c r="U424" t="str">
        <f t="shared" si="13"/>
        <v>average</v>
      </c>
    </row>
    <row r="425" spans="1:21">
      <c r="A425" t="s">
        <v>461</v>
      </c>
      <c r="B425">
        <v>50</v>
      </c>
      <c r="C425">
        <v>71570</v>
      </c>
      <c r="D425">
        <v>634</v>
      </c>
      <c r="E425">
        <v>0.54254896769194705</v>
      </c>
      <c r="F425">
        <v>2</v>
      </c>
      <c r="G425">
        <v>1</v>
      </c>
      <c r="H425">
        <v>36820</v>
      </c>
      <c r="I425">
        <v>0.26963614630121402</v>
      </c>
      <c r="J425" t="s">
        <v>43</v>
      </c>
      <c r="K425">
        <v>9</v>
      </c>
      <c r="L425" t="s">
        <v>45</v>
      </c>
      <c r="M425" t="s">
        <v>28</v>
      </c>
      <c r="N425" t="s">
        <v>24</v>
      </c>
      <c r="O425" t="s">
        <v>23</v>
      </c>
      <c r="P425" t="s">
        <v>24</v>
      </c>
      <c r="Q425" t="s">
        <v>29</v>
      </c>
      <c r="R425" t="s">
        <v>23</v>
      </c>
      <c r="S425" t="s">
        <v>23</v>
      </c>
      <c r="T425" t="str">
        <f t="shared" si="12"/>
        <v>High risk</v>
      </c>
      <c r="U425" t="str">
        <f t="shared" si="13"/>
        <v>average</v>
      </c>
    </row>
    <row r="426" spans="1:21">
      <c r="A426" t="s">
        <v>462</v>
      </c>
      <c r="B426">
        <v>69</v>
      </c>
      <c r="C426">
        <v>104588</v>
      </c>
      <c r="D426">
        <v>811</v>
      </c>
      <c r="E426">
        <v>0.186865625394356</v>
      </c>
      <c r="F426">
        <v>0</v>
      </c>
      <c r="G426">
        <v>0</v>
      </c>
      <c r="H426">
        <v>65548</v>
      </c>
      <c r="I426">
        <v>0.34331159638731101</v>
      </c>
      <c r="J426" t="s">
        <v>34</v>
      </c>
      <c r="K426">
        <v>18</v>
      </c>
      <c r="L426" t="s">
        <v>21</v>
      </c>
      <c r="M426" t="s">
        <v>53</v>
      </c>
      <c r="N426" t="s">
        <v>24</v>
      </c>
      <c r="O426" t="s">
        <v>29</v>
      </c>
      <c r="P426" t="s">
        <v>24</v>
      </c>
      <c r="Q426" t="s">
        <v>24</v>
      </c>
      <c r="R426" t="s">
        <v>24</v>
      </c>
      <c r="S426" t="s">
        <v>23</v>
      </c>
      <c r="T426" t="str">
        <f t="shared" si="12"/>
        <v>low risk</v>
      </c>
      <c r="U426" t="str">
        <f t="shared" si="13"/>
        <v>poor</v>
      </c>
    </row>
    <row r="427" spans="1:21">
      <c r="A427" t="s">
        <v>463</v>
      </c>
      <c r="B427">
        <v>38</v>
      </c>
      <c r="C427">
        <v>146800</v>
      </c>
      <c r="D427">
        <v>500</v>
      </c>
      <c r="E427">
        <v>0.75955099705193396</v>
      </c>
      <c r="F427">
        <v>3</v>
      </c>
      <c r="G427">
        <v>0</v>
      </c>
      <c r="H427">
        <v>29584</v>
      </c>
      <c r="I427">
        <v>0.33884664150482902</v>
      </c>
      <c r="J427" t="s">
        <v>40</v>
      </c>
      <c r="K427">
        <v>11</v>
      </c>
      <c r="L427" t="s">
        <v>31</v>
      </c>
      <c r="M427" t="s">
        <v>53</v>
      </c>
      <c r="N427" t="s">
        <v>23</v>
      </c>
      <c r="O427" t="s">
        <v>29</v>
      </c>
      <c r="P427" t="s">
        <v>24</v>
      </c>
      <c r="Q427" t="s">
        <v>24</v>
      </c>
      <c r="R427" t="s">
        <v>23</v>
      </c>
      <c r="S427" t="s">
        <v>23</v>
      </c>
      <c r="T427" t="str">
        <f t="shared" si="12"/>
        <v>Medium risk</v>
      </c>
      <c r="U427" t="str">
        <f t="shared" si="13"/>
        <v>average</v>
      </c>
    </row>
    <row r="428" spans="1:21">
      <c r="A428" t="s">
        <v>464</v>
      </c>
      <c r="B428">
        <v>49</v>
      </c>
      <c r="C428">
        <v>163216</v>
      </c>
      <c r="D428">
        <v>768</v>
      </c>
      <c r="E428">
        <v>1.0087335790603</v>
      </c>
      <c r="F428">
        <v>6</v>
      </c>
      <c r="G428">
        <v>0</v>
      </c>
      <c r="H428">
        <v>60530</v>
      </c>
      <c r="I428">
        <v>0.45293668083481398</v>
      </c>
      <c r="J428" t="s">
        <v>20</v>
      </c>
      <c r="K428">
        <v>15</v>
      </c>
      <c r="L428" t="s">
        <v>37</v>
      </c>
      <c r="M428" t="s">
        <v>38</v>
      </c>
      <c r="N428" t="s">
        <v>23</v>
      </c>
      <c r="O428" t="s">
        <v>29</v>
      </c>
      <c r="P428" t="s">
        <v>24</v>
      </c>
      <c r="Q428" t="s">
        <v>23</v>
      </c>
      <c r="R428" t="s">
        <v>23</v>
      </c>
      <c r="S428" t="s">
        <v>24</v>
      </c>
      <c r="T428" t="str">
        <f t="shared" si="12"/>
        <v>Medium risk</v>
      </c>
      <c r="U428" t="str">
        <f t="shared" si="13"/>
        <v>average</v>
      </c>
    </row>
    <row r="429" spans="1:21">
      <c r="A429" t="s">
        <v>465</v>
      </c>
      <c r="B429">
        <v>40</v>
      </c>
      <c r="C429">
        <v>193677</v>
      </c>
      <c r="D429">
        <v>320</v>
      </c>
      <c r="E429">
        <v>0.53656138184106705</v>
      </c>
      <c r="F429">
        <v>4</v>
      </c>
      <c r="G429">
        <v>0</v>
      </c>
      <c r="H429">
        <v>36913</v>
      </c>
      <c r="I429">
        <v>0.290471465285499</v>
      </c>
      <c r="J429" t="s">
        <v>26</v>
      </c>
      <c r="K429">
        <v>8</v>
      </c>
      <c r="L429" t="s">
        <v>37</v>
      </c>
      <c r="M429" t="s">
        <v>38</v>
      </c>
      <c r="N429" t="s">
        <v>24</v>
      </c>
      <c r="O429" t="s">
        <v>29</v>
      </c>
      <c r="P429" t="s">
        <v>24</v>
      </c>
      <c r="Q429" t="s">
        <v>29</v>
      </c>
      <c r="R429" t="s">
        <v>23</v>
      </c>
      <c r="S429" t="s">
        <v>24</v>
      </c>
      <c r="T429" t="str">
        <f t="shared" si="12"/>
        <v>Medium risk</v>
      </c>
      <c r="U429" t="str">
        <f t="shared" si="13"/>
        <v>poor</v>
      </c>
    </row>
    <row r="430" spans="1:21">
      <c r="A430" t="s">
        <v>466</v>
      </c>
      <c r="B430">
        <v>50</v>
      </c>
      <c r="C430">
        <v>38049</v>
      </c>
      <c r="D430">
        <v>673</v>
      </c>
      <c r="E430">
        <v>0.48117947030809599</v>
      </c>
      <c r="F430">
        <v>2</v>
      </c>
      <c r="G430">
        <v>0</v>
      </c>
      <c r="H430">
        <v>62342</v>
      </c>
      <c r="I430">
        <v>0.41945634311841201</v>
      </c>
      <c r="J430" t="s">
        <v>34</v>
      </c>
      <c r="K430">
        <v>14</v>
      </c>
      <c r="L430" t="s">
        <v>45</v>
      </c>
      <c r="M430" t="s">
        <v>38</v>
      </c>
      <c r="N430" t="s">
        <v>29</v>
      </c>
      <c r="O430" t="s">
        <v>24</v>
      </c>
      <c r="P430" t="s">
        <v>29</v>
      </c>
      <c r="Q430" t="s">
        <v>23</v>
      </c>
      <c r="R430" t="s">
        <v>23</v>
      </c>
      <c r="S430" t="s">
        <v>29</v>
      </c>
      <c r="T430" t="str">
        <f t="shared" si="12"/>
        <v>Medium risk</v>
      </c>
      <c r="U430" t="str">
        <f t="shared" si="13"/>
        <v>average</v>
      </c>
    </row>
    <row r="431" spans="1:21">
      <c r="A431" t="s">
        <v>467</v>
      </c>
      <c r="B431">
        <v>20</v>
      </c>
      <c r="C431">
        <v>129821</v>
      </c>
      <c r="D431">
        <v>536</v>
      </c>
      <c r="E431">
        <v>0.43557208496198702</v>
      </c>
      <c r="F431">
        <v>4</v>
      </c>
      <c r="G431">
        <v>1</v>
      </c>
      <c r="H431">
        <v>49798</v>
      </c>
      <c r="I431">
        <v>0.392072551289389</v>
      </c>
      <c r="J431" t="s">
        <v>34</v>
      </c>
      <c r="K431">
        <v>16</v>
      </c>
      <c r="L431" t="s">
        <v>37</v>
      </c>
      <c r="M431" t="s">
        <v>32</v>
      </c>
      <c r="N431" t="s">
        <v>24</v>
      </c>
      <c r="O431" t="s">
        <v>29</v>
      </c>
      <c r="P431" t="s">
        <v>24</v>
      </c>
      <c r="Q431" t="s">
        <v>23</v>
      </c>
      <c r="R431" t="s">
        <v>23</v>
      </c>
      <c r="S431" t="s">
        <v>29</v>
      </c>
      <c r="T431" t="str">
        <f t="shared" si="12"/>
        <v>High risk</v>
      </c>
      <c r="U431" t="str">
        <f t="shared" si="13"/>
        <v>average</v>
      </c>
    </row>
    <row r="432" spans="1:21">
      <c r="A432" t="s">
        <v>468</v>
      </c>
      <c r="B432">
        <v>35</v>
      </c>
      <c r="C432">
        <v>115235</v>
      </c>
      <c r="D432">
        <v>691</v>
      </c>
      <c r="E432">
        <v>0.65635986226258203</v>
      </c>
      <c r="F432">
        <v>6</v>
      </c>
      <c r="G432">
        <v>0</v>
      </c>
      <c r="H432">
        <v>95276</v>
      </c>
      <c r="I432">
        <v>0.52939772832931398</v>
      </c>
      <c r="J432" t="s">
        <v>26</v>
      </c>
      <c r="K432">
        <v>13</v>
      </c>
      <c r="L432" t="s">
        <v>37</v>
      </c>
      <c r="M432" t="s">
        <v>38</v>
      </c>
      <c r="N432" t="s">
        <v>24</v>
      </c>
      <c r="O432" t="s">
        <v>29</v>
      </c>
      <c r="P432" t="s">
        <v>23</v>
      </c>
      <c r="Q432" t="s">
        <v>29</v>
      </c>
      <c r="R432" t="s">
        <v>23</v>
      </c>
      <c r="S432" t="s">
        <v>24</v>
      </c>
      <c r="T432" t="str">
        <f t="shared" si="12"/>
        <v>Medium risk</v>
      </c>
      <c r="U432" t="str">
        <f t="shared" si="13"/>
        <v>average</v>
      </c>
    </row>
    <row r="433" spans="1:21">
      <c r="A433" t="s">
        <v>469</v>
      </c>
      <c r="B433">
        <v>42</v>
      </c>
      <c r="C433">
        <v>108610</v>
      </c>
      <c r="D433">
        <v>467</v>
      </c>
      <c r="E433">
        <v>0.61353735018691702</v>
      </c>
      <c r="F433">
        <v>1</v>
      </c>
      <c r="G433">
        <v>0</v>
      </c>
      <c r="H433">
        <v>55812</v>
      </c>
      <c r="I433">
        <v>0.287274198009772</v>
      </c>
      <c r="J433" t="s">
        <v>26</v>
      </c>
      <c r="K433">
        <v>17</v>
      </c>
      <c r="L433" t="s">
        <v>27</v>
      </c>
      <c r="M433" t="s">
        <v>28</v>
      </c>
      <c r="N433" t="s">
        <v>29</v>
      </c>
      <c r="O433" t="s">
        <v>23</v>
      </c>
      <c r="P433" t="s">
        <v>24</v>
      </c>
      <c r="Q433" t="s">
        <v>29</v>
      </c>
      <c r="R433" t="s">
        <v>23</v>
      </c>
      <c r="S433" t="s">
        <v>24</v>
      </c>
      <c r="T433" t="str">
        <f t="shared" si="12"/>
        <v>low risk</v>
      </c>
      <c r="U433" t="str">
        <f t="shared" si="13"/>
        <v>average</v>
      </c>
    </row>
    <row r="434" spans="1:21">
      <c r="A434" t="s">
        <v>470</v>
      </c>
      <c r="B434">
        <v>59</v>
      </c>
      <c r="C434">
        <v>31364</v>
      </c>
      <c r="D434">
        <v>739</v>
      </c>
      <c r="E434">
        <v>0.70069969071057203</v>
      </c>
      <c r="F434">
        <v>2</v>
      </c>
      <c r="G434">
        <v>0</v>
      </c>
      <c r="H434">
        <v>24851</v>
      </c>
      <c r="I434">
        <v>0.25796412785470102</v>
      </c>
      <c r="J434" t="s">
        <v>20</v>
      </c>
      <c r="K434">
        <v>1</v>
      </c>
      <c r="L434" t="s">
        <v>45</v>
      </c>
      <c r="M434" t="s">
        <v>53</v>
      </c>
      <c r="N434" t="s">
        <v>29</v>
      </c>
      <c r="O434" t="s">
        <v>23</v>
      </c>
      <c r="P434" t="s">
        <v>29</v>
      </c>
      <c r="Q434" t="s">
        <v>24</v>
      </c>
      <c r="R434" t="s">
        <v>29</v>
      </c>
      <c r="S434" t="s">
        <v>24</v>
      </c>
      <c r="T434" t="str">
        <f t="shared" si="12"/>
        <v>Medium risk</v>
      </c>
      <c r="U434" t="str">
        <f t="shared" si="13"/>
        <v>average</v>
      </c>
    </row>
    <row r="435" spans="1:21">
      <c r="A435" t="s">
        <v>471</v>
      </c>
      <c r="B435">
        <v>48</v>
      </c>
      <c r="C435">
        <v>184160</v>
      </c>
      <c r="D435">
        <v>572</v>
      </c>
      <c r="E435">
        <v>0.37441669548038298</v>
      </c>
      <c r="F435">
        <v>3</v>
      </c>
      <c r="G435">
        <v>0</v>
      </c>
      <c r="H435">
        <v>78289</v>
      </c>
      <c r="I435">
        <v>0.42576942222437297</v>
      </c>
      <c r="J435" t="s">
        <v>34</v>
      </c>
      <c r="K435">
        <v>3</v>
      </c>
      <c r="L435" t="s">
        <v>45</v>
      </c>
      <c r="M435" t="s">
        <v>28</v>
      </c>
      <c r="N435" t="s">
        <v>23</v>
      </c>
      <c r="O435" t="s">
        <v>23</v>
      </c>
      <c r="P435" t="s">
        <v>23</v>
      </c>
      <c r="Q435" t="s">
        <v>23</v>
      </c>
      <c r="R435" t="s">
        <v>24</v>
      </c>
      <c r="S435" t="s">
        <v>23</v>
      </c>
      <c r="T435" t="str">
        <f t="shared" si="12"/>
        <v>Medium risk</v>
      </c>
      <c r="U435" t="str">
        <f t="shared" si="13"/>
        <v>average</v>
      </c>
    </row>
    <row r="436" spans="1:21">
      <c r="A436" t="s">
        <v>472</v>
      </c>
      <c r="B436">
        <v>71</v>
      </c>
      <c r="C436">
        <v>59238</v>
      </c>
      <c r="D436">
        <v>401</v>
      </c>
      <c r="E436">
        <v>0.56802354128092902</v>
      </c>
      <c r="F436">
        <v>2</v>
      </c>
      <c r="G436">
        <v>0</v>
      </c>
      <c r="H436">
        <v>20052</v>
      </c>
      <c r="I436">
        <v>0.33854325717412598</v>
      </c>
      <c r="J436" t="s">
        <v>50</v>
      </c>
      <c r="K436">
        <v>17</v>
      </c>
      <c r="L436" t="s">
        <v>37</v>
      </c>
      <c r="M436" t="s">
        <v>38</v>
      </c>
      <c r="N436" t="s">
        <v>24</v>
      </c>
      <c r="O436" t="s">
        <v>29</v>
      </c>
      <c r="P436" t="s">
        <v>24</v>
      </c>
      <c r="Q436" t="s">
        <v>24</v>
      </c>
      <c r="R436" t="s">
        <v>24</v>
      </c>
      <c r="S436" t="s">
        <v>29</v>
      </c>
      <c r="T436" t="str">
        <f t="shared" si="12"/>
        <v>Medium risk</v>
      </c>
      <c r="U436" t="str">
        <f t="shared" si="13"/>
        <v>poor</v>
      </c>
    </row>
    <row r="437" spans="1:21">
      <c r="A437" t="s">
        <v>473</v>
      </c>
      <c r="B437">
        <v>20</v>
      </c>
      <c r="C437">
        <v>68682</v>
      </c>
      <c r="D437">
        <v>339</v>
      </c>
      <c r="E437">
        <v>0.39150638665875998</v>
      </c>
      <c r="F437">
        <v>4</v>
      </c>
      <c r="G437">
        <v>0</v>
      </c>
      <c r="H437">
        <v>88778</v>
      </c>
      <c r="I437">
        <v>0.42816592167838902</v>
      </c>
      <c r="J437" t="s">
        <v>34</v>
      </c>
      <c r="K437">
        <v>6</v>
      </c>
      <c r="L437" t="s">
        <v>37</v>
      </c>
      <c r="M437" t="s">
        <v>32</v>
      </c>
      <c r="N437" t="s">
        <v>23</v>
      </c>
      <c r="O437" t="s">
        <v>24</v>
      </c>
      <c r="P437" t="s">
        <v>23</v>
      </c>
      <c r="Q437" t="s">
        <v>29</v>
      </c>
      <c r="R437" t="s">
        <v>29</v>
      </c>
      <c r="S437" t="s">
        <v>23</v>
      </c>
      <c r="T437" t="str">
        <f t="shared" si="12"/>
        <v>Medium risk</v>
      </c>
      <c r="U437" t="str">
        <f t="shared" si="13"/>
        <v>average</v>
      </c>
    </row>
    <row r="438" spans="1:21">
      <c r="A438" t="s">
        <v>474</v>
      </c>
      <c r="B438">
        <v>57</v>
      </c>
      <c r="C438">
        <v>28807</v>
      </c>
      <c r="D438">
        <v>794</v>
      </c>
      <c r="E438">
        <v>0.28845687038598899</v>
      </c>
      <c r="F438">
        <v>0</v>
      </c>
      <c r="G438">
        <v>0</v>
      </c>
      <c r="H438">
        <v>95136</v>
      </c>
      <c r="I438">
        <v>0.37167987979895001</v>
      </c>
      <c r="J438" t="s">
        <v>43</v>
      </c>
      <c r="K438">
        <v>12</v>
      </c>
      <c r="L438" t="s">
        <v>37</v>
      </c>
      <c r="M438" t="s">
        <v>32</v>
      </c>
      <c r="N438" t="s">
        <v>24</v>
      </c>
      <c r="O438" t="s">
        <v>23</v>
      </c>
      <c r="P438" t="s">
        <v>29</v>
      </c>
      <c r="Q438" t="s">
        <v>24</v>
      </c>
      <c r="R438" t="s">
        <v>23</v>
      </c>
      <c r="S438" t="s">
        <v>24</v>
      </c>
      <c r="T438" t="str">
        <f t="shared" si="12"/>
        <v>low risk</v>
      </c>
      <c r="U438" t="str">
        <f t="shared" si="13"/>
        <v>poor</v>
      </c>
    </row>
    <row r="439" spans="1:21">
      <c r="A439" t="s">
        <v>475</v>
      </c>
      <c r="B439">
        <v>63</v>
      </c>
      <c r="D439">
        <v>799</v>
      </c>
      <c r="E439">
        <v>0.49179691579930701</v>
      </c>
      <c r="F439">
        <v>2</v>
      </c>
      <c r="G439">
        <v>0</v>
      </c>
      <c r="H439">
        <v>41743</v>
      </c>
      <c r="I439">
        <v>0.1</v>
      </c>
      <c r="J439" t="s">
        <v>40</v>
      </c>
      <c r="K439">
        <v>14</v>
      </c>
      <c r="L439" t="s">
        <v>31</v>
      </c>
      <c r="M439" t="s">
        <v>53</v>
      </c>
      <c r="N439" t="s">
        <v>24</v>
      </c>
      <c r="O439" t="s">
        <v>29</v>
      </c>
      <c r="P439" t="s">
        <v>23</v>
      </c>
      <c r="Q439" t="s">
        <v>29</v>
      </c>
      <c r="R439" t="s">
        <v>23</v>
      </c>
      <c r="S439" t="s">
        <v>29</v>
      </c>
      <c r="T439" t="str">
        <f t="shared" si="12"/>
        <v>Medium risk</v>
      </c>
      <c r="U439" t="str">
        <f t="shared" si="13"/>
        <v>average</v>
      </c>
    </row>
    <row r="440" spans="1:21">
      <c r="A440" t="s">
        <v>476</v>
      </c>
      <c r="B440">
        <v>41</v>
      </c>
      <c r="C440">
        <v>20569</v>
      </c>
      <c r="D440">
        <v>427</v>
      </c>
      <c r="E440">
        <v>0.315497453924583</v>
      </c>
      <c r="F440">
        <v>3</v>
      </c>
      <c r="G440">
        <v>0</v>
      </c>
      <c r="H440">
        <v>87110</v>
      </c>
      <c r="I440">
        <v>0.33763217770311799</v>
      </c>
      <c r="J440" t="s">
        <v>40</v>
      </c>
      <c r="K440">
        <v>0</v>
      </c>
      <c r="L440" t="s">
        <v>21</v>
      </c>
      <c r="M440" t="s">
        <v>28</v>
      </c>
      <c r="N440" t="s">
        <v>23</v>
      </c>
      <c r="O440" t="s">
        <v>29</v>
      </c>
      <c r="P440" t="s">
        <v>29</v>
      </c>
      <c r="Q440" t="s">
        <v>23</v>
      </c>
      <c r="R440" t="s">
        <v>29</v>
      </c>
      <c r="S440" t="s">
        <v>29</v>
      </c>
      <c r="T440" t="str">
        <f t="shared" si="12"/>
        <v>Medium risk</v>
      </c>
      <c r="U440" t="str">
        <f t="shared" si="13"/>
        <v>good</v>
      </c>
    </row>
    <row r="441" spans="1:21">
      <c r="A441" t="s">
        <v>477</v>
      </c>
      <c r="B441">
        <v>67</v>
      </c>
      <c r="C441">
        <v>25916</v>
      </c>
      <c r="D441">
        <v>762</v>
      </c>
      <c r="E441">
        <v>0.73474539954851703</v>
      </c>
      <c r="F441">
        <v>1</v>
      </c>
      <c r="G441">
        <v>0</v>
      </c>
      <c r="I441">
        <v>0.331121589795148</v>
      </c>
      <c r="J441" t="s">
        <v>43</v>
      </c>
      <c r="K441">
        <v>10</v>
      </c>
      <c r="L441" t="s">
        <v>31</v>
      </c>
      <c r="M441" t="s">
        <v>22</v>
      </c>
      <c r="N441" t="s">
        <v>24</v>
      </c>
      <c r="O441" t="s">
        <v>24</v>
      </c>
      <c r="P441" t="s">
        <v>23</v>
      </c>
      <c r="Q441" t="s">
        <v>29</v>
      </c>
      <c r="R441" t="s">
        <v>24</v>
      </c>
      <c r="S441" t="s">
        <v>23</v>
      </c>
      <c r="T441" t="str">
        <f t="shared" si="12"/>
        <v>low risk</v>
      </c>
      <c r="U441" t="str">
        <f t="shared" si="13"/>
        <v>poor</v>
      </c>
    </row>
    <row r="442" spans="1:21">
      <c r="A442" t="s">
        <v>478</v>
      </c>
      <c r="B442">
        <v>49</v>
      </c>
      <c r="C442">
        <v>127566</v>
      </c>
      <c r="D442">
        <v>328</v>
      </c>
      <c r="E442">
        <v>0.32761592439683501</v>
      </c>
      <c r="F442">
        <v>5</v>
      </c>
      <c r="G442">
        <v>0</v>
      </c>
      <c r="H442">
        <v>82438</v>
      </c>
      <c r="I442">
        <v>0.31331069024639602</v>
      </c>
      <c r="J442" t="s">
        <v>40</v>
      </c>
      <c r="K442">
        <v>9</v>
      </c>
      <c r="L442" t="s">
        <v>45</v>
      </c>
      <c r="M442" t="s">
        <v>28</v>
      </c>
      <c r="N442" t="s">
        <v>24</v>
      </c>
      <c r="O442" t="s">
        <v>24</v>
      </c>
      <c r="P442" t="s">
        <v>24</v>
      </c>
      <c r="Q442" t="s">
        <v>24</v>
      </c>
      <c r="R442" t="s">
        <v>24</v>
      </c>
      <c r="S442" t="s">
        <v>24</v>
      </c>
      <c r="T442" t="str">
        <f t="shared" si="12"/>
        <v>Medium risk</v>
      </c>
      <c r="U442" t="str">
        <f t="shared" si="13"/>
        <v>poor</v>
      </c>
    </row>
    <row r="443" spans="1:21">
      <c r="A443" t="s">
        <v>479</v>
      </c>
      <c r="B443">
        <v>64</v>
      </c>
      <c r="C443">
        <v>33888</v>
      </c>
      <c r="D443">
        <v>398</v>
      </c>
      <c r="E443">
        <v>0.57270918813747196</v>
      </c>
      <c r="F443">
        <v>0</v>
      </c>
      <c r="G443">
        <v>0</v>
      </c>
      <c r="H443">
        <v>1806</v>
      </c>
      <c r="I443">
        <v>0.286775694587661</v>
      </c>
      <c r="J443" t="s">
        <v>26</v>
      </c>
      <c r="K443">
        <v>4</v>
      </c>
      <c r="L443" t="s">
        <v>27</v>
      </c>
      <c r="M443" t="s">
        <v>38</v>
      </c>
      <c r="N443" t="s">
        <v>24</v>
      </c>
      <c r="O443" t="s">
        <v>23</v>
      </c>
      <c r="P443" t="s">
        <v>23</v>
      </c>
      <c r="Q443" t="s">
        <v>29</v>
      </c>
      <c r="R443" t="s">
        <v>29</v>
      </c>
      <c r="S443" t="s">
        <v>24</v>
      </c>
      <c r="T443" t="str">
        <f t="shared" si="12"/>
        <v>low risk</v>
      </c>
      <c r="U443" t="str">
        <f t="shared" si="13"/>
        <v>average</v>
      </c>
    </row>
    <row r="444" spans="1:21">
      <c r="A444" t="s">
        <v>480</v>
      </c>
      <c r="B444">
        <v>39</v>
      </c>
      <c r="C444">
        <v>152162</v>
      </c>
      <c r="D444">
        <v>446</v>
      </c>
      <c r="E444">
        <v>0.37931554024805503</v>
      </c>
      <c r="F444">
        <v>1</v>
      </c>
      <c r="G444">
        <v>0</v>
      </c>
      <c r="H444">
        <v>4106</v>
      </c>
      <c r="I444">
        <v>0.140785647220567</v>
      </c>
      <c r="J444" t="s">
        <v>40</v>
      </c>
      <c r="K444">
        <v>15</v>
      </c>
      <c r="L444" t="s">
        <v>21</v>
      </c>
      <c r="M444" t="s">
        <v>22</v>
      </c>
      <c r="N444" t="s">
        <v>29</v>
      </c>
      <c r="O444" t="s">
        <v>23</v>
      </c>
      <c r="P444" t="s">
        <v>29</v>
      </c>
      <c r="Q444" t="s">
        <v>29</v>
      </c>
      <c r="R444" t="s">
        <v>29</v>
      </c>
      <c r="S444" t="s">
        <v>29</v>
      </c>
      <c r="T444" t="str">
        <f t="shared" si="12"/>
        <v>low risk</v>
      </c>
      <c r="U444" t="str">
        <f t="shared" si="13"/>
        <v>good</v>
      </c>
    </row>
    <row r="445" spans="1:21">
      <c r="A445" t="s">
        <v>481</v>
      </c>
      <c r="B445">
        <v>40</v>
      </c>
      <c r="C445">
        <v>170026</v>
      </c>
      <c r="D445">
        <v>788</v>
      </c>
      <c r="E445">
        <v>0.55541255008750201</v>
      </c>
      <c r="F445">
        <v>2</v>
      </c>
      <c r="G445">
        <v>0</v>
      </c>
      <c r="H445">
        <v>95376</v>
      </c>
      <c r="I445">
        <v>0.387417691723832</v>
      </c>
      <c r="J445" t="s">
        <v>40</v>
      </c>
      <c r="K445">
        <v>10</v>
      </c>
      <c r="L445" t="s">
        <v>27</v>
      </c>
      <c r="M445" t="s">
        <v>32</v>
      </c>
      <c r="N445" t="s">
        <v>29</v>
      </c>
      <c r="O445" t="s">
        <v>24</v>
      </c>
      <c r="P445" t="s">
        <v>29</v>
      </c>
      <c r="Q445" t="s">
        <v>23</v>
      </c>
      <c r="R445" t="s">
        <v>29</v>
      </c>
      <c r="S445" t="s">
        <v>29</v>
      </c>
      <c r="T445" t="str">
        <f t="shared" si="12"/>
        <v>Medium risk</v>
      </c>
      <c r="U445" t="str">
        <f t="shared" si="13"/>
        <v>average</v>
      </c>
    </row>
    <row r="446" spans="1:21">
      <c r="A446" t="s">
        <v>482</v>
      </c>
      <c r="B446">
        <v>19</v>
      </c>
      <c r="C446">
        <v>51187</v>
      </c>
      <c r="D446">
        <v>549</v>
      </c>
      <c r="E446">
        <v>0.39520068530892799</v>
      </c>
      <c r="F446">
        <v>4</v>
      </c>
      <c r="G446">
        <v>0</v>
      </c>
      <c r="H446">
        <v>65387</v>
      </c>
      <c r="I446">
        <v>0.33737684280934899</v>
      </c>
      <c r="J446" t="s">
        <v>43</v>
      </c>
      <c r="K446">
        <v>5</v>
      </c>
      <c r="L446" t="s">
        <v>45</v>
      </c>
      <c r="M446" t="s">
        <v>53</v>
      </c>
      <c r="N446" t="s">
        <v>24</v>
      </c>
      <c r="O446" t="s">
        <v>23</v>
      </c>
      <c r="P446" t="s">
        <v>23</v>
      </c>
      <c r="Q446" t="s">
        <v>29</v>
      </c>
      <c r="R446" t="s">
        <v>24</v>
      </c>
      <c r="S446" t="s">
        <v>24</v>
      </c>
      <c r="T446" t="str">
        <f t="shared" si="12"/>
        <v>Medium risk</v>
      </c>
      <c r="U446" t="str">
        <f t="shared" si="13"/>
        <v>poor</v>
      </c>
    </row>
    <row r="447" spans="1:21">
      <c r="A447" t="s">
        <v>483</v>
      </c>
      <c r="B447">
        <v>44</v>
      </c>
      <c r="C447">
        <v>108396</v>
      </c>
      <c r="D447">
        <v>378</v>
      </c>
      <c r="E447">
        <v>0.24855774502849201</v>
      </c>
      <c r="F447">
        <v>6</v>
      </c>
      <c r="G447">
        <v>1</v>
      </c>
      <c r="H447">
        <v>85678</v>
      </c>
      <c r="I447">
        <v>0.41019566973974197</v>
      </c>
      <c r="J447" t="s">
        <v>20</v>
      </c>
      <c r="K447">
        <v>8</v>
      </c>
      <c r="L447" t="s">
        <v>45</v>
      </c>
      <c r="M447" t="s">
        <v>53</v>
      </c>
      <c r="N447" t="s">
        <v>29</v>
      </c>
      <c r="O447" t="s">
        <v>23</v>
      </c>
      <c r="P447" t="s">
        <v>29</v>
      </c>
      <c r="Q447" t="s">
        <v>23</v>
      </c>
      <c r="R447" t="s">
        <v>24</v>
      </c>
      <c r="S447" t="s">
        <v>29</v>
      </c>
      <c r="T447" t="str">
        <f t="shared" si="12"/>
        <v>High risk</v>
      </c>
      <c r="U447" t="str">
        <f t="shared" si="13"/>
        <v>average</v>
      </c>
    </row>
    <row r="448" spans="1:21">
      <c r="A448" t="s">
        <v>484</v>
      </c>
      <c r="B448">
        <v>59</v>
      </c>
      <c r="C448">
        <v>16062</v>
      </c>
      <c r="D448">
        <v>690</v>
      </c>
      <c r="E448">
        <v>0.59675454819036899</v>
      </c>
      <c r="F448">
        <v>4</v>
      </c>
      <c r="G448">
        <v>0</v>
      </c>
      <c r="H448">
        <v>73117</v>
      </c>
      <c r="I448">
        <v>0.146124447572474</v>
      </c>
      <c r="J448" t="s">
        <v>40</v>
      </c>
      <c r="K448">
        <v>12</v>
      </c>
      <c r="L448" t="s">
        <v>27</v>
      </c>
      <c r="M448" t="s">
        <v>32</v>
      </c>
      <c r="N448" t="s">
        <v>24</v>
      </c>
      <c r="O448" t="s">
        <v>29</v>
      </c>
      <c r="P448" t="s">
        <v>29</v>
      </c>
      <c r="Q448" t="s">
        <v>24</v>
      </c>
      <c r="R448" t="s">
        <v>24</v>
      </c>
      <c r="S448" t="s">
        <v>29</v>
      </c>
      <c r="T448" t="str">
        <f t="shared" si="12"/>
        <v>Medium risk</v>
      </c>
      <c r="U448" t="str">
        <f t="shared" si="13"/>
        <v>poor</v>
      </c>
    </row>
    <row r="449" spans="1:21">
      <c r="A449" t="s">
        <v>485</v>
      </c>
      <c r="B449">
        <v>19</v>
      </c>
      <c r="C449">
        <v>167617</v>
      </c>
      <c r="D449">
        <v>700</v>
      </c>
      <c r="E449">
        <v>0.452916875617355</v>
      </c>
      <c r="F449">
        <v>3</v>
      </c>
      <c r="G449">
        <v>0</v>
      </c>
      <c r="H449">
        <v>52256</v>
      </c>
      <c r="I449">
        <v>0.350713448954526</v>
      </c>
      <c r="J449" t="s">
        <v>50</v>
      </c>
      <c r="K449">
        <v>7</v>
      </c>
      <c r="L449" t="s">
        <v>27</v>
      </c>
      <c r="M449" t="s">
        <v>38</v>
      </c>
      <c r="N449" t="s">
        <v>24</v>
      </c>
      <c r="O449" t="s">
        <v>24</v>
      </c>
      <c r="P449" t="s">
        <v>23</v>
      </c>
      <c r="Q449" t="s">
        <v>29</v>
      </c>
      <c r="R449" t="s">
        <v>24</v>
      </c>
      <c r="S449" t="s">
        <v>24</v>
      </c>
      <c r="T449" t="str">
        <f t="shared" si="12"/>
        <v>Medium risk</v>
      </c>
      <c r="U449" t="str">
        <f t="shared" si="13"/>
        <v>poor</v>
      </c>
    </row>
    <row r="450" spans="1:21">
      <c r="A450" t="s">
        <v>486</v>
      </c>
      <c r="B450">
        <v>43</v>
      </c>
      <c r="C450">
        <v>187627</v>
      </c>
      <c r="D450">
        <v>584</v>
      </c>
      <c r="E450">
        <v>0.55719698814449103</v>
      </c>
      <c r="F450">
        <v>4</v>
      </c>
      <c r="G450">
        <v>0</v>
      </c>
      <c r="H450">
        <v>10778</v>
      </c>
      <c r="I450">
        <v>0.27653406624534299</v>
      </c>
      <c r="J450" t="s">
        <v>40</v>
      </c>
      <c r="K450">
        <v>13</v>
      </c>
      <c r="L450" t="s">
        <v>27</v>
      </c>
      <c r="M450" t="s">
        <v>32</v>
      </c>
      <c r="N450" t="s">
        <v>29</v>
      </c>
      <c r="O450" t="s">
        <v>29</v>
      </c>
      <c r="P450" t="s">
        <v>24</v>
      </c>
      <c r="Q450" t="s">
        <v>24</v>
      </c>
      <c r="R450" t="s">
        <v>24</v>
      </c>
      <c r="S450" t="s">
        <v>29</v>
      </c>
      <c r="T450" t="str">
        <f t="shared" si="12"/>
        <v>Medium risk</v>
      </c>
      <c r="U450" t="str">
        <f t="shared" si="13"/>
        <v>poor</v>
      </c>
    </row>
    <row r="451" spans="1:21">
      <c r="A451" t="s">
        <v>487</v>
      </c>
      <c r="B451">
        <v>34</v>
      </c>
      <c r="C451">
        <v>115235</v>
      </c>
      <c r="D451">
        <v>781</v>
      </c>
      <c r="E451">
        <v>0.41423141287391202</v>
      </c>
      <c r="F451">
        <v>0</v>
      </c>
      <c r="G451">
        <v>0</v>
      </c>
      <c r="H451">
        <v>62010</v>
      </c>
      <c r="I451">
        <v>0.314378800992552</v>
      </c>
      <c r="J451" t="s">
        <v>20</v>
      </c>
      <c r="K451">
        <v>0</v>
      </c>
      <c r="L451" t="s">
        <v>45</v>
      </c>
      <c r="M451" t="s">
        <v>38</v>
      </c>
      <c r="N451" t="s">
        <v>24</v>
      </c>
      <c r="O451" t="s">
        <v>23</v>
      </c>
      <c r="P451" t="s">
        <v>29</v>
      </c>
      <c r="Q451" t="s">
        <v>29</v>
      </c>
      <c r="R451" t="s">
        <v>23</v>
      </c>
      <c r="S451" t="s">
        <v>24</v>
      </c>
      <c r="T451" t="str">
        <f t="shared" ref="T451:T514" si="14">IF(G451=1,"High risk", IF(F451&gt;= 2, "Medium risk", "low risk"))</f>
        <v>low risk</v>
      </c>
      <c r="U451" t="str">
        <f t="shared" ref="U451:U502" si="15">IF(COUNTIF(N451:S451,"Missed") &gt;= 3, "poor", IF(COUNTIF(N451:S451,"Missed") &gt;= 1, "average", "good"))</f>
        <v>average</v>
      </c>
    </row>
    <row r="452" spans="1:21">
      <c r="A452" t="s">
        <v>488</v>
      </c>
      <c r="B452">
        <v>57</v>
      </c>
      <c r="D452">
        <v>528</v>
      </c>
      <c r="E452">
        <v>0.234412697246309</v>
      </c>
      <c r="F452">
        <v>4</v>
      </c>
      <c r="G452">
        <v>0</v>
      </c>
      <c r="H452">
        <v>29845</v>
      </c>
      <c r="I452">
        <v>0.27768403658190999</v>
      </c>
      <c r="J452" t="s">
        <v>43</v>
      </c>
      <c r="K452">
        <v>16</v>
      </c>
      <c r="L452" t="s">
        <v>37</v>
      </c>
      <c r="M452" t="s">
        <v>22</v>
      </c>
      <c r="N452" t="s">
        <v>29</v>
      </c>
      <c r="O452" t="s">
        <v>23</v>
      </c>
      <c r="P452" t="s">
        <v>29</v>
      </c>
      <c r="Q452" t="s">
        <v>29</v>
      </c>
      <c r="R452" t="s">
        <v>29</v>
      </c>
      <c r="S452" t="s">
        <v>24</v>
      </c>
      <c r="T452" t="str">
        <f t="shared" si="14"/>
        <v>Medium risk</v>
      </c>
      <c r="U452" t="str">
        <f t="shared" si="15"/>
        <v>average</v>
      </c>
    </row>
    <row r="453" spans="1:21">
      <c r="A453" t="s">
        <v>489</v>
      </c>
      <c r="B453">
        <v>50</v>
      </c>
      <c r="C453">
        <v>99076</v>
      </c>
      <c r="D453">
        <v>332</v>
      </c>
      <c r="E453">
        <v>0.71663571941125104</v>
      </c>
      <c r="F453">
        <v>3</v>
      </c>
      <c r="G453">
        <v>0</v>
      </c>
      <c r="H453">
        <v>62010</v>
      </c>
      <c r="I453">
        <v>0.35436079274801202</v>
      </c>
      <c r="J453" t="s">
        <v>20</v>
      </c>
      <c r="K453">
        <v>4</v>
      </c>
      <c r="L453" t="s">
        <v>27</v>
      </c>
      <c r="M453" t="s">
        <v>32</v>
      </c>
      <c r="N453" t="s">
        <v>29</v>
      </c>
      <c r="O453" t="s">
        <v>24</v>
      </c>
      <c r="P453" t="s">
        <v>24</v>
      </c>
      <c r="Q453" t="s">
        <v>29</v>
      </c>
      <c r="R453" t="s">
        <v>24</v>
      </c>
      <c r="S453" t="s">
        <v>24</v>
      </c>
      <c r="T453" t="str">
        <f t="shared" si="14"/>
        <v>Medium risk</v>
      </c>
      <c r="U453" t="str">
        <f t="shared" si="15"/>
        <v>poor</v>
      </c>
    </row>
    <row r="454" spans="1:21">
      <c r="A454" t="s">
        <v>490</v>
      </c>
      <c r="B454">
        <v>26</v>
      </c>
      <c r="C454">
        <v>190333</v>
      </c>
      <c r="D454">
        <v>462</v>
      </c>
      <c r="E454">
        <v>0.64735155108821696</v>
      </c>
      <c r="F454">
        <v>5</v>
      </c>
      <c r="G454">
        <v>1</v>
      </c>
      <c r="H454">
        <v>29416</v>
      </c>
      <c r="I454">
        <v>0.28371268790084198</v>
      </c>
      <c r="J454" t="s">
        <v>43</v>
      </c>
      <c r="K454">
        <v>1</v>
      </c>
      <c r="L454" t="s">
        <v>21</v>
      </c>
      <c r="M454" t="s">
        <v>38</v>
      </c>
      <c r="N454" t="s">
        <v>23</v>
      </c>
      <c r="O454" t="s">
        <v>23</v>
      </c>
      <c r="P454" t="s">
        <v>24</v>
      </c>
      <c r="Q454" t="s">
        <v>24</v>
      </c>
      <c r="R454" t="s">
        <v>23</v>
      </c>
      <c r="S454" t="s">
        <v>24</v>
      </c>
      <c r="T454" t="str">
        <f t="shared" si="14"/>
        <v>High risk</v>
      </c>
      <c r="U454" t="str">
        <f t="shared" si="15"/>
        <v>poor</v>
      </c>
    </row>
    <row r="455" spans="1:21">
      <c r="A455" t="s">
        <v>491</v>
      </c>
      <c r="B455">
        <v>60</v>
      </c>
      <c r="C455">
        <v>65612</v>
      </c>
      <c r="D455">
        <v>588</v>
      </c>
      <c r="E455">
        <v>0.38660780488935098</v>
      </c>
      <c r="F455">
        <v>2</v>
      </c>
      <c r="G455">
        <v>0</v>
      </c>
      <c r="I455">
        <v>0.19480850749443099</v>
      </c>
      <c r="J455" t="s">
        <v>26</v>
      </c>
      <c r="K455">
        <v>8</v>
      </c>
      <c r="L455" t="s">
        <v>45</v>
      </c>
      <c r="M455" t="s">
        <v>22</v>
      </c>
      <c r="N455" t="s">
        <v>24</v>
      </c>
      <c r="O455" t="s">
        <v>24</v>
      </c>
      <c r="P455" t="s">
        <v>29</v>
      </c>
      <c r="Q455" t="s">
        <v>23</v>
      </c>
      <c r="R455" t="s">
        <v>29</v>
      </c>
      <c r="S455" t="s">
        <v>24</v>
      </c>
      <c r="T455" t="str">
        <f t="shared" si="14"/>
        <v>Medium risk</v>
      </c>
      <c r="U455" t="str">
        <f t="shared" si="15"/>
        <v>poor</v>
      </c>
    </row>
    <row r="456" spans="1:21">
      <c r="A456" t="s">
        <v>492</v>
      </c>
      <c r="B456">
        <v>71</v>
      </c>
      <c r="C456">
        <v>162851</v>
      </c>
      <c r="D456">
        <v>622</v>
      </c>
      <c r="E456">
        <v>0.51395584269975902</v>
      </c>
      <c r="F456">
        <v>6</v>
      </c>
      <c r="G456">
        <v>0</v>
      </c>
      <c r="H456">
        <v>77743</v>
      </c>
      <c r="I456">
        <v>0.308642541878619</v>
      </c>
      <c r="J456" t="s">
        <v>43</v>
      </c>
      <c r="K456">
        <v>3</v>
      </c>
      <c r="L456" t="s">
        <v>31</v>
      </c>
      <c r="M456" t="s">
        <v>32</v>
      </c>
      <c r="N456" t="s">
        <v>29</v>
      </c>
      <c r="O456" t="s">
        <v>24</v>
      </c>
      <c r="P456" t="s">
        <v>23</v>
      </c>
      <c r="Q456" t="s">
        <v>23</v>
      </c>
      <c r="R456" t="s">
        <v>24</v>
      </c>
      <c r="S456" t="s">
        <v>24</v>
      </c>
      <c r="T456" t="str">
        <f t="shared" si="14"/>
        <v>Medium risk</v>
      </c>
      <c r="U456" t="str">
        <f t="shared" si="15"/>
        <v>poor</v>
      </c>
    </row>
    <row r="457" spans="1:21">
      <c r="A457" t="s">
        <v>493</v>
      </c>
      <c r="B457">
        <v>65</v>
      </c>
      <c r="C457">
        <v>75566</v>
      </c>
      <c r="D457">
        <v>338</v>
      </c>
      <c r="E457">
        <v>0.70840389663258696</v>
      </c>
      <c r="F457">
        <v>2</v>
      </c>
      <c r="G457">
        <v>0</v>
      </c>
      <c r="H457">
        <v>83236</v>
      </c>
      <c r="I457">
        <v>0.27858254628644902</v>
      </c>
      <c r="J457" t="s">
        <v>26</v>
      </c>
      <c r="K457">
        <v>16</v>
      </c>
      <c r="L457" t="s">
        <v>31</v>
      </c>
      <c r="M457" t="s">
        <v>53</v>
      </c>
      <c r="N457" t="s">
        <v>23</v>
      </c>
      <c r="O457" t="s">
        <v>24</v>
      </c>
      <c r="P457" t="s">
        <v>23</v>
      </c>
      <c r="Q457" t="s">
        <v>29</v>
      </c>
      <c r="R457" t="s">
        <v>23</v>
      </c>
      <c r="S457" t="s">
        <v>29</v>
      </c>
      <c r="T457" t="str">
        <f t="shared" si="14"/>
        <v>Medium risk</v>
      </c>
      <c r="U457" t="str">
        <f t="shared" si="15"/>
        <v>average</v>
      </c>
    </row>
    <row r="458" spans="1:21">
      <c r="A458" t="s">
        <v>494</v>
      </c>
      <c r="B458">
        <v>56</v>
      </c>
      <c r="C458">
        <v>177993</v>
      </c>
      <c r="D458">
        <v>739</v>
      </c>
      <c r="E458">
        <v>0.40859233282752</v>
      </c>
      <c r="F458">
        <v>4</v>
      </c>
      <c r="G458">
        <v>0</v>
      </c>
      <c r="H458">
        <v>24120</v>
      </c>
      <c r="I458">
        <v>0.291660637887111</v>
      </c>
      <c r="J458" t="s">
        <v>26</v>
      </c>
      <c r="K458">
        <v>16</v>
      </c>
      <c r="L458" t="s">
        <v>21</v>
      </c>
      <c r="M458" t="s">
        <v>32</v>
      </c>
      <c r="N458" t="s">
        <v>23</v>
      </c>
      <c r="O458" t="s">
        <v>23</v>
      </c>
      <c r="P458" t="s">
        <v>24</v>
      </c>
      <c r="Q458" t="s">
        <v>29</v>
      </c>
      <c r="R458" t="s">
        <v>23</v>
      </c>
      <c r="S458" t="s">
        <v>29</v>
      </c>
      <c r="T458" t="str">
        <f t="shared" si="14"/>
        <v>Medium risk</v>
      </c>
      <c r="U458" t="str">
        <f t="shared" si="15"/>
        <v>average</v>
      </c>
    </row>
    <row r="459" spans="1:21">
      <c r="A459" t="s">
        <v>495</v>
      </c>
      <c r="B459">
        <v>46</v>
      </c>
      <c r="C459">
        <v>38049</v>
      </c>
      <c r="D459">
        <v>758</v>
      </c>
      <c r="E459">
        <v>0.439623098961889</v>
      </c>
      <c r="F459">
        <v>1</v>
      </c>
      <c r="G459">
        <v>0</v>
      </c>
      <c r="H459">
        <v>71588</v>
      </c>
      <c r="I459">
        <v>0.1</v>
      </c>
      <c r="J459" t="s">
        <v>43</v>
      </c>
      <c r="K459">
        <v>17</v>
      </c>
      <c r="L459" t="s">
        <v>37</v>
      </c>
      <c r="M459" t="s">
        <v>28</v>
      </c>
      <c r="N459" t="s">
        <v>23</v>
      </c>
      <c r="O459" t="s">
        <v>24</v>
      </c>
      <c r="P459" t="s">
        <v>23</v>
      </c>
      <c r="Q459" t="s">
        <v>24</v>
      </c>
      <c r="R459" t="s">
        <v>23</v>
      </c>
      <c r="S459" t="s">
        <v>29</v>
      </c>
      <c r="T459" t="str">
        <f t="shared" si="14"/>
        <v>low risk</v>
      </c>
      <c r="U459" t="str">
        <f t="shared" si="15"/>
        <v>average</v>
      </c>
    </row>
    <row r="460" spans="1:21">
      <c r="A460" t="s">
        <v>496</v>
      </c>
      <c r="B460">
        <v>59</v>
      </c>
      <c r="D460">
        <v>350</v>
      </c>
      <c r="E460">
        <v>0.54872650000147405</v>
      </c>
      <c r="F460">
        <v>2</v>
      </c>
      <c r="G460">
        <v>0</v>
      </c>
      <c r="H460">
        <v>24835</v>
      </c>
      <c r="I460">
        <v>0.36826360835687</v>
      </c>
      <c r="J460" t="s">
        <v>50</v>
      </c>
      <c r="K460">
        <v>15</v>
      </c>
      <c r="L460" t="s">
        <v>27</v>
      </c>
      <c r="M460" t="s">
        <v>32</v>
      </c>
      <c r="N460" t="s">
        <v>24</v>
      </c>
      <c r="O460" t="s">
        <v>23</v>
      </c>
      <c r="P460" t="s">
        <v>29</v>
      </c>
      <c r="Q460" t="s">
        <v>29</v>
      </c>
      <c r="R460" t="s">
        <v>24</v>
      </c>
      <c r="S460" t="s">
        <v>23</v>
      </c>
      <c r="T460" t="str">
        <f t="shared" si="14"/>
        <v>Medium risk</v>
      </c>
      <c r="U460" t="str">
        <f t="shared" si="15"/>
        <v>average</v>
      </c>
    </row>
    <row r="461" spans="1:21">
      <c r="A461" t="s">
        <v>497</v>
      </c>
      <c r="B461">
        <v>72</v>
      </c>
      <c r="C461">
        <v>125448</v>
      </c>
      <c r="D461">
        <v>354</v>
      </c>
      <c r="E461">
        <v>0.408181787289082</v>
      </c>
      <c r="F461">
        <v>5</v>
      </c>
      <c r="G461">
        <v>0</v>
      </c>
      <c r="I461">
        <v>0.26853363826532101</v>
      </c>
      <c r="J461" t="s">
        <v>34</v>
      </c>
      <c r="K461">
        <v>7</v>
      </c>
      <c r="L461" t="s">
        <v>45</v>
      </c>
      <c r="M461" t="s">
        <v>28</v>
      </c>
      <c r="N461" t="s">
        <v>23</v>
      </c>
      <c r="O461" t="s">
        <v>23</v>
      </c>
      <c r="P461" t="s">
        <v>23</v>
      </c>
      <c r="Q461" t="s">
        <v>24</v>
      </c>
      <c r="R461" t="s">
        <v>23</v>
      </c>
      <c r="S461" t="s">
        <v>24</v>
      </c>
      <c r="T461" t="str">
        <f t="shared" si="14"/>
        <v>Medium risk</v>
      </c>
      <c r="U461" t="str">
        <f t="shared" si="15"/>
        <v>average</v>
      </c>
    </row>
    <row r="462" spans="1:21">
      <c r="A462" t="s">
        <v>498</v>
      </c>
      <c r="B462">
        <v>43</v>
      </c>
      <c r="C462">
        <v>146800</v>
      </c>
      <c r="D462">
        <v>459</v>
      </c>
      <c r="E462">
        <v>0.671418399397404</v>
      </c>
      <c r="F462">
        <v>4</v>
      </c>
      <c r="G462">
        <v>1</v>
      </c>
      <c r="H462">
        <v>17913</v>
      </c>
      <c r="I462">
        <v>0.165184642598173</v>
      </c>
      <c r="J462" t="s">
        <v>43</v>
      </c>
      <c r="K462">
        <v>10</v>
      </c>
      <c r="L462" t="s">
        <v>27</v>
      </c>
      <c r="M462" t="s">
        <v>22</v>
      </c>
      <c r="N462" t="s">
        <v>24</v>
      </c>
      <c r="O462" t="s">
        <v>24</v>
      </c>
      <c r="P462" t="s">
        <v>29</v>
      </c>
      <c r="Q462" t="s">
        <v>29</v>
      </c>
      <c r="R462" t="s">
        <v>23</v>
      </c>
      <c r="S462" t="s">
        <v>24</v>
      </c>
      <c r="T462" t="str">
        <f t="shared" si="14"/>
        <v>High risk</v>
      </c>
      <c r="U462" t="str">
        <f t="shared" si="15"/>
        <v>poor</v>
      </c>
    </row>
    <row r="463" spans="1:21">
      <c r="A463" t="s">
        <v>499</v>
      </c>
      <c r="B463">
        <v>52</v>
      </c>
      <c r="C463">
        <v>134180</v>
      </c>
      <c r="D463">
        <v>757</v>
      </c>
      <c r="E463">
        <v>0.46621984393851201</v>
      </c>
      <c r="F463">
        <v>6</v>
      </c>
      <c r="G463">
        <v>0</v>
      </c>
      <c r="H463">
        <v>16693</v>
      </c>
      <c r="I463">
        <v>0.39225635168481399</v>
      </c>
      <c r="J463" t="s">
        <v>40</v>
      </c>
      <c r="K463">
        <v>17</v>
      </c>
      <c r="L463" t="s">
        <v>45</v>
      </c>
      <c r="M463" t="s">
        <v>32</v>
      </c>
      <c r="N463" t="s">
        <v>23</v>
      </c>
      <c r="O463" t="s">
        <v>24</v>
      </c>
      <c r="P463" t="s">
        <v>23</v>
      </c>
      <c r="Q463" t="s">
        <v>24</v>
      </c>
      <c r="R463" t="s">
        <v>24</v>
      </c>
      <c r="S463" t="s">
        <v>29</v>
      </c>
      <c r="T463" t="str">
        <f t="shared" si="14"/>
        <v>Medium risk</v>
      </c>
      <c r="U463" t="str">
        <f t="shared" si="15"/>
        <v>poor</v>
      </c>
    </row>
    <row r="464" spans="1:21">
      <c r="A464" t="s">
        <v>500</v>
      </c>
      <c r="B464">
        <v>67</v>
      </c>
      <c r="C464">
        <v>64922</v>
      </c>
      <c r="D464">
        <v>658</v>
      </c>
      <c r="E464">
        <v>0.34319282500120502</v>
      </c>
      <c r="F464">
        <v>3</v>
      </c>
      <c r="G464">
        <v>0</v>
      </c>
      <c r="H464">
        <v>67397</v>
      </c>
      <c r="I464">
        <v>0.36363657277529299</v>
      </c>
      <c r="J464" t="s">
        <v>50</v>
      </c>
      <c r="K464">
        <v>9</v>
      </c>
      <c r="L464" t="s">
        <v>31</v>
      </c>
      <c r="M464" t="s">
        <v>22</v>
      </c>
      <c r="N464" t="s">
        <v>29</v>
      </c>
      <c r="O464" t="s">
        <v>23</v>
      </c>
      <c r="P464" t="s">
        <v>23</v>
      </c>
      <c r="Q464" t="s">
        <v>24</v>
      </c>
      <c r="R464" t="s">
        <v>29</v>
      </c>
      <c r="S464" t="s">
        <v>29</v>
      </c>
      <c r="T464" t="str">
        <f t="shared" si="14"/>
        <v>Medium risk</v>
      </c>
      <c r="U464" t="str">
        <f t="shared" si="15"/>
        <v>average</v>
      </c>
    </row>
    <row r="465" spans="1:21">
      <c r="A465" t="s">
        <v>501</v>
      </c>
      <c r="B465">
        <v>42</v>
      </c>
      <c r="D465">
        <v>837</v>
      </c>
      <c r="E465">
        <v>0.62172776597479895</v>
      </c>
      <c r="F465">
        <v>5</v>
      </c>
      <c r="G465">
        <v>0</v>
      </c>
      <c r="H465">
        <v>45776</v>
      </c>
      <c r="I465">
        <v>0.26726798037251398</v>
      </c>
      <c r="J465" t="s">
        <v>50</v>
      </c>
      <c r="K465">
        <v>12</v>
      </c>
      <c r="L465" t="s">
        <v>27</v>
      </c>
      <c r="M465" t="s">
        <v>22</v>
      </c>
      <c r="N465" t="s">
        <v>29</v>
      </c>
      <c r="O465" t="s">
        <v>24</v>
      </c>
      <c r="P465" t="s">
        <v>29</v>
      </c>
      <c r="Q465" t="s">
        <v>23</v>
      </c>
      <c r="R465" t="s">
        <v>23</v>
      </c>
      <c r="S465" t="s">
        <v>23</v>
      </c>
      <c r="T465" t="str">
        <f t="shared" si="14"/>
        <v>Medium risk</v>
      </c>
      <c r="U465" t="str">
        <f t="shared" si="15"/>
        <v>average</v>
      </c>
    </row>
    <row r="466" spans="1:21">
      <c r="A466" t="s">
        <v>502</v>
      </c>
      <c r="B466">
        <v>41</v>
      </c>
      <c r="C466">
        <v>24435</v>
      </c>
      <c r="D466">
        <v>766</v>
      </c>
      <c r="E466">
        <v>0.27157387011373002</v>
      </c>
      <c r="F466">
        <v>4</v>
      </c>
      <c r="G466">
        <v>0</v>
      </c>
      <c r="H466">
        <v>60530</v>
      </c>
      <c r="I466">
        <v>0.18478306204799799</v>
      </c>
      <c r="J466" t="s">
        <v>40</v>
      </c>
      <c r="K466">
        <v>16</v>
      </c>
      <c r="L466" t="s">
        <v>21</v>
      </c>
      <c r="M466" t="s">
        <v>38</v>
      </c>
      <c r="N466" t="s">
        <v>24</v>
      </c>
      <c r="O466" t="s">
        <v>29</v>
      </c>
      <c r="P466" t="s">
        <v>24</v>
      </c>
      <c r="Q466" t="s">
        <v>24</v>
      </c>
      <c r="R466" t="s">
        <v>24</v>
      </c>
      <c r="S466" t="s">
        <v>23</v>
      </c>
      <c r="T466" t="str">
        <f t="shared" si="14"/>
        <v>Medium risk</v>
      </c>
      <c r="U466" t="str">
        <f t="shared" si="15"/>
        <v>poor</v>
      </c>
    </row>
    <row r="467" spans="1:21">
      <c r="A467" t="s">
        <v>503</v>
      </c>
      <c r="B467">
        <v>30</v>
      </c>
      <c r="D467">
        <v>664</v>
      </c>
      <c r="E467">
        <v>0.90297571222484196</v>
      </c>
      <c r="F467">
        <v>5</v>
      </c>
      <c r="G467">
        <v>0</v>
      </c>
      <c r="I467">
        <v>0.31780307346793701</v>
      </c>
      <c r="J467" t="s">
        <v>34</v>
      </c>
      <c r="K467">
        <v>17</v>
      </c>
      <c r="L467" t="s">
        <v>37</v>
      </c>
      <c r="M467" t="s">
        <v>22</v>
      </c>
      <c r="N467" t="s">
        <v>24</v>
      </c>
      <c r="O467" t="s">
        <v>24</v>
      </c>
      <c r="P467" t="s">
        <v>24</v>
      </c>
      <c r="Q467" t="s">
        <v>23</v>
      </c>
      <c r="R467" t="s">
        <v>29</v>
      </c>
      <c r="S467" t="s">
        <v>29</v>
      </c>
      <c r="T467" t="str">
        <f t="shared" si="14"/>
        <v>Medium risk</v>
      </c>
      <c r="U467" t="str">
        <f t="shared" si="15"/>
        <v>poor</v>
      </c>
    </row>
    <row r="468" spans="1:21">
      <c r="A468" t="s">
        <v>504</v>
      </c>
      <c r="B468">
        <v>24</v>
      </c>
      <c r="C468">
        <v>193998</v>
      </c>
      <c r="D468">
        <v>700</v>
      </c>
      <c r="E468">
        <v>0.81649927271603995</v>
      </c>
      <c r="F468">
        <v>2</v>
      </c>
      <c r="G468">
        <v>0</v>
      </c>
      <c r="H468">
        <v>18952</v>
      </c>
      <c r="I468">
        <v>0.31231060845876002</v>
      </c>
      <c r="J468" t="s">
        <v>50</v>
      </c>
      <c r="K468">
        <v>9</v>
      </c>
      <c r="L468" t="s">
        <v>21</v>
      </c>
      <c r="M468" t="s">
        <v>22</v>
      </c>
      <c r="N468" t="s">
        <v>24</v>
      </c>
      <c r="O468" t="s">
        <v>29</v>
      </c>
      <c r="P468" t="s">
        <v>29</v>
      </c>
      <c r="Q468" t="s">
        <v>23</v>
      </c>
      <c r="R468" t="s">
        <v>23</v>
      </c>
      <c r="S468" t="s">
        <v>24</v>
      </c>
      <c r="T468" t="str">
        <f t="shared" si="14"/>
        <v>Medium risk</v>
      </c>
      <c r="U468" t="str">
        <f t="shared" si="15"/>
        <v>average</v>
      </c>
    </row>
    <row r="469" spans="1:21">
      <c r="A469" t="s">
        <v>505</v>
      </c>
      <c r="B469">
        <v>74</v>
      </c>
      <c r="C469">
        <v>164143</v>
      </c>
      <c r="D469">
        <v>580</v>
      </c>
      <c r="E469">
        <v>0.60269909538420297</v>
      </c>
      <c r="F469">
        <v>6</v>
      </c>
      <c r="G469">
        <v>0</v>
      </c>
      <c r="H469">
        <v>44449</v>
      </c>
      <c r="I469">
        <v>0.39243342829917799</v>
      </c>
      <c r="J469" t="s">
        <v>26</v>
      </c>
      <c r="K469">
        <v>15</v>
      </c>
      <c r="L469" t="s">
        <v>37</v>
      </c>
      <c r="M469" t="s">
        <v>32</v>
      </c>
      <c r="N469" t="s">
        <v>24</v>
      </c>
      <c r="O469" t="s">
        <v>23</v>
      </c>
      <c r="P469" t="s">
        <v>29</v>
      </c>
      <c r="Q469" t="s">
        <v>24</v>
      </c>
      <c r="R469" t="s">
        <v>24</v>
      </c>
      <c r="S469" t="s">
        <v>23</v>
      </c>
      <c r="T469" t="str">
        <f t="shared" si="14"/>
        <v>Medium risk</v>
      </c>
      <c r="U469" t="str">
        <f t="shared" si="15"/>
        <v>poor</v>
      </c>
    </row>
    <row r="470" spans="1:21">
      <c r="A470" t="s">
        <v>506</v>
      </c>
      <c r="B470">
        <v>53</v>
      </c>
      <c r="C470">
        <v>191615</v>
      </c>
      <c r="D470">
        <v>796</v>
      </c>
      <c r="E470">
        <v>0.58586620436397996</v>
      </c>
      <c r="F470">
        <v>3</v>
      </c>
      <c r="G470">
        <v>0</v>
      </c>
      <c r="H470">
        <v>42551</v>
      </c>
      <c r="I470">
        <v>0.25562644851395</v>
      </c>
      <c r="J470" t="s">
        <v>34</v>
      </c>
      <c r="K470">
        <v>19</v>
      </c>
      <c r="L470" t="s">
        <v>27</v>
      </c>
      <c r="M470" t="s">
        <v>32</v>
      </c>
      <c r="N470" t="s">
        <v>23</v>
      </c>
      <c r="O470" t="s">
        <v>23</v>
      </c>
      <c r="P470" t="s">
        <v>29</v>
      </c>
      <c r="Q470" t="s">
        <v>23</v>
      </c>
      <c r="R470" t="s">
        <v>23</v>
      </c>
      <c r="S470" t="s">
        <v>23</v>
      </c>
      <c r="T470" t="str">
        <f t="shared" si="14"/>
        <v>Medium risk</v>
      </c>
      <c r="U470" t="str">
        <f t="shared" si="15"/>
        <v>good</v>
      </c>
    </row>
    <row r="471" spans="1:21">
      <c r="A471" t="s">
        <v>507</v>
      </c>
      <c r="B471">
        <v>62</v>
      </c>
      <c r="C471">
        <v>75566</v>
      </c>
      <c r="D471">
        <v>845</v>
      </c>
      <c r="E471">
        <v>0.57648828356385895</v>
      </c>
      <c r="F471">
        <v>4</v>
      </c>
      <c r="G471">
        <v>0</v>
      </c>
      <c r="H471">
        <v>82482</v>
      </c>
      <c r="I471">
        <v>0.41949221348649901</v>
      </c>
      <c r="J471" t="s">
        <v>40</v>
      </c>
      <c r="K471">
        <v>4</v>
      </c>
      <c r="L471" t="s">
        <v>27</v>
      </c>
      <c r="M471" t="s">
        <v>53</v>
      </c>
      <c r="N471" t="s">
        <v>23</v>
      </c>
      <c r="O471" t="s">
        <v>23</v>
      </c>
      <c r="P471" t="s">
        <v>23</v>
      </c>
      <c r="Q471" t="s">
        <v>24</v>
      </c>
      <c r="R471" t="s">
        <v>23</v>
      </c>
      <c r="S471" t="s">
        <v>24</v>
      </c>
      <c r="T471" t="str">
        <f t="shared" si="14"/>
        <v>Medium risk</v>
      </c>
      <c r="U471" t="str">
        <f t="shared" si="15"/>
        <v>average</v>
      </c>
    </row>
    <row r="472" spans="1:21">
      <c r="A472" t="s">
        <v>508</v>
      </c>
      <c r="B472">
        <v>37</v>
      </c>
      <c r="C472">
        <v>167424</v>
      </c>
      <c r="D472">
        <v>813</v>
      </c>
      <c r="E472">
        <v>0.40218104281621803</v>
      </c>
      <c r="F472">
        <v>0</v>
      </c>
      <c r="G472">
        <v>0</v>
      </c>
      <c r="H472">
        <v>33772</v>
      </c>
      <c r="I472">
        <v>0.24597469966642299</v>
      </c>
      <c r="J472" t="s">
        <v>34</v>
      </c>
      <c r="K472">
        <v>12</v>
      </c>
      <c r="L472" t="s">
        <v>37</v>
      </c>
      <c r="M472" t="s">
        <v>38</v>
      </c>
      <c r="N472" t="s">
        <v>29</v>
      </c>
      <c r="O472" t="s">
        <v>29</v>
      </c>
      <c r="P472" t="s">
        <v>24</v>
      </c>
      <c r="Q472" t="s">
        <v>23</v>
      </c>
      <c r="R472" t="s">
        <v>24</v>
      </c>
      <c r="S472" t="s">
        <v>29</v>
      </c>
      <c r="T472" t="str">
        <f t="shared" si="14"/>
        <v>low risk</v>
      </c>
      <c r="U472" t="str">
        <f t="shared" si="15"/>
        <v>average</v>
      </c>
    </row>
    <row r="473" spans="1:21">
      <c r="A473" t="s">
        <v>509</v>
      </c>
      <c r="B473">
        <v>18</v>
      </c>
      <c r="C473">
        <v>53513</v>
      </c>
      <c r="D473">
        <v>617</v>
      </c>
      <c r="E473">
        <v>0.55946192913616799</v>
      </c>
      <c r="F473">
        <v>3</v>
      </c>
      <c r="G473">
        <v>0</v>
      </c>
      <c r="H473">
        <v>43870</v>
      </c>
      <c r="I473">
        <v>0.16541682154575699</v>
      </c>
      <c r="J473" t="s">
        <v>43</v>
      </c>
      <c r="K473">
        <v>17</v>
      </c>
      <c r="L473" t="s">
        <v>31</v>
      </c>
      <c r="M473" t="s">
        <v>22</v>
      </c>
      <c r="N473" t="s">
        <v>23</v>
      </c>
      <c r="O473" t="s">
        <v>29</v>
      </c>
      <c r="P473" t="s">
        <v>29</v>
      </c>
      <c r="Q473" t="s">
        <v>24</v>
      </c>
      <c r="R473" t="s">
        <v>29</v>
      </c>
      <c r="S473" t="s">
        <v>23</v>
      </c>
      <c r="T473" t="str">
        <f t="shared" si="14"/>
        <v>Medium risk</v>
      </c>
      <c r="U473" t="str">
        <f t="shared" si="15"/>
        <v>average</v>
      </c>
    </row>
    <row r="474" spans="1:21">
      <c r="A474" t="s">
        <v>510</v>
      </c>
      <c r="B474">
        <v>25</v>
      </c>
      <c r="C474">
        <v>155932</v>
      </c>
      <c r="D474">
        <v>754</v>
      </c>
      <c r="E474">
        <v>0.31537347790843001</v>
      </c>
      <c r="F474">
        <v>0</v>
      </c>
      <c r="G474">
        <v>0</v>
      </c>
      <c r="H474">
        <v>23685</v>
      </c>
      <c r="I474">
        <v>0.186771724452271</v>
      </c>
      <c r="J474" t="s">
        <v>34</v>
      </c>
      <c r="K474">
        <v>16</v>
      </c>
      <c r="L474" t="s">
        <v>45</v>
      </c>
      <c r="M474" t="s">
        <v>38</v>
      </c>
      <c r="N474" t="s">
        <v>29</v>
      </c>
      <c r="O474" t="s">
        <v>23</v>
      </c>
      <c r="P474" t="s">
        <v>23</v>
      </c>
      <c r="Q474" t="s">
        <v>24</v>
      </c>
      <c r="R474" t="s">
        <v>29</v>
      </c>
      <c r="S474" t="s">
        <v>24</v>
      </c>
      <c r="T474" t="str">
        <f t="shared" si="14"/>
        <v>low risk</v>
      </c>
      <c r="U474" t="str">
        <f t="shared" si="15"/>
        <v>average</v>
      </c>
    </row>
    <row r="475" spans="1:21">
      <c r="A475" t="s">
        <v>511</v>
      </c>
      <c r="B475">
        <v>63</v>
      </c>
      <c r="D475">
        <v>475</v>
      </c>
      <c r="E475">
        <v>0.60076368368803601</v>
      </c>
      <c r="F475">
        <v>5</v>
      </c>
      <c r="G475">
        <v>0</v>
      </c>
      <c r="H475">
        <v>75316</v>
      </c>
      <c r="I475">
        <v>0.29375884608643799</v>
      </c>
      <c r="J475" t="s">
        <v>26</v>
      </c>
      <c r="K475">
        <v>8</v>
      </c>
      <c r="L475" t="s">
        <v>21</v>
      </c>
      <c r="M475" t="s">
        <v>28</v>
      </c>
      <c r="N475" t="s">
        <v>24</v>
      </c>
      <c r="O475" t="s">
        <v>29</v>
      </c>
      <c r="P475" t="s">
        <v>24</v>
      </c>
      <c r="Q475" t="s">
        <v>23</v>
      </c>
      <c r="R475" t="s">
        <v>23</v>
      </c>
      <c r="S475" t="s">
        <v>23</v>
      </c>
      <c r="T475" t="str">
        <f t="shared" si="14"/>
        <v>Medium risk</v>
      </c>
      <c r="U475" t="str">
        <f t="shared" si="15"/>
        <v>average</v>
      </c>
    </row>
    <row r="476" spans="1:21">
      <c r="A476" t="s">
        <v>512</v>
      </c>
      <c r="B476">
        <v>33</v>
      </c>
      <c r="C476">
        <v>38049</v>
      </c>
      <c r="D476">
        <v>508</v>
      </c>
      <c r="E476">
        <v>0.67356938860625903</v>
      </c>
      <c r="F476">
        <v>1</v>
      </c>
      <c r="G476">
        <v>0</v>
      </c>
      <c r="H476">
        <v>60348</v>
      </c>
      <c r="I476">
        <v>0.29344854909412599</v>
      </c>
      <c r="J476" t="s">
        <v>43</v>
      </c>
      <c r="K476">
        <v>13</v>
      </c>
      <c r="L476" t="s">
        <v>21</v>
      </c>
      <c r="M476" t="s">
        <v>22</v>
      </c>
      <c r="N476" t="s">
        <v>29</v>
      </c>
      <c r="O476" t="s">
        <v>23</v>
      </c>
      <c r="P476" t="s">
        <v>29</v>
      </c>
      <c r="Q476" t="s">
        <v>23</v>
      </c>
      <c r="R476" t="s">
        <v>23</v>
      </c>
      <c r="S476" t="s">
        <v>23</v>
      </c>
      <c r="T476" t="str">
        <f t="shared" si="14"/>
        <v>low risk</v>
      </c>
      <c r="U476" t="str">
        <f t="shared" si="15"/>
        <v>good</v>
      </c>
    </row>
    <row r="477" spans="1:21">
      <c r="A477" t="s">
        <v>513</v>
      </c>
      <c r="B477">
        <v>31</v>
      </c>
      <c r="C477">
        <v>169786</v>
      </c>
      <c r="D477">
        <v>822</v>
      </c>
      <c r="E477">
        <v>0.424382779803333</v>
      </c>
      <c r="F477">
        <v>3</v>
      </c>
      <c r="G477">
        <v>0</v>
      </c>
      <c r="H477">
        <v>48437</v>
      </c>
      <c r="I477">
        <v>0.33278611407507702</v>
      </c>
      <c r="J477" t="s">
        <v>20</v>
      </c>
      <c r="K477">
        <v>16</v>
      </c>
      <c r="L477" t="s">
        <v>21</v>
      </c>
      <c r="M477" t="s">
        <v>38</v>
      </c>
      <c r="N477" t="s">
        <v>23</v>
      </c>
      <c r="O477" t="s">
        <v>24</v>
      </c>
      <c r="P477" t="s">
        <v>23</v>
      </c>
      <c r="Q477" t="s">
        <v>29</v>
      </c>
      <c r="R477" t="s">
        <v>29</v>
      </c>
      <c r="S477" t="s">
        <v>24</v>
      </c>
      <c r="T477" t="str">
        <f t="shared" si="14"/>
        <v>Medium risk</v>
      </c>
      <c r="U477" t="str">
        <f t="shared" si="15"/>
        <v>average</v>
      </c>
    </row>
    <row r="478" spans="1:21">
      <c r="A478" t="s">
        <v>514</v>
      </c>
      <c r="B478">
        <v>29</v>
      </c>
      <c r="C478">
        <v>52744</v>
      </c>
      <c r="D478">
        <v>796</v>
      </c>
      <c r="E478">
        <v>0.38097964116905603</v>
      </c>
      <c r="F478">
        <v>5</v>
      </c>
      <c r="G478">
        <v>0</v>
      </c>
      <c r="H478">
        <v>44439</v>
      </c>
      <c r="I478">
        <v>0.29096259688815501</v>
      </c>
      <c r="J478" t="s">
        <v>40</v>
      </c>
      <c r="K478">
        <v>3</v>
      </c>
      <c r="L478" t="s">
        <v>27</v>
      </c>
      <c r="M478" t="s">
        <v>53</v>
      </c>
      <c r="N478" t="s">
        <v>29</v>
      </c>
      <c r="O478" t="s">
        <v>23</v>
      </c>
      <c r="P478" t="s">
        <v>24</v>
      </c>
      <c r="Q478" t="s">
        <v>24</v>
      </c>
      <c r="R478" t="s">
        <v>24</v>
      </c>
      <c r="S478" t="s">
        <v>23</v>
      </c>
      <c r="T478" t="str">
        <f t="shared" si="14"/>
        <v>Medium risk</v>
      </c>
      <c r="U478" t="str">
        <f t="shared" si="15"/>
        <v>poor</v>
      </c>
    </row>
    <row r="479" spans="1:21">
      <c r="A479" t="s">
        <v>515</v>
      </c>
      <c r="B479">
        <v>68</v>
      </c>
      <c r="C479">
        <v>24435</v>
      </c>
      <c r="D479">
        <v>307</v>
      </c>
      <c r="E479">
        <v>0.25750459507041801</v>
      </c>
      <c r="F479">
        <v>0</v>
      </c>
      <c r="G479">
        <v>1</v>
      </c>
      <c r="H479">
        <v>20374</v>
      </c>
      <c r="I479">
        <v>0.39773185160643199</v>
      </c>
      <c r="J479" t="s">
        <v>40</v>
      </c>
      <c r="K479">
        <v>17</v>
      </c>
      <c r="L479" t="s">
        <v>21</v>
      </c>
      <c r="M479" t="s">
        <v>53</v>
      </c>
      <c r="N479" t="s">
        <v>29</v>
      </c>
      <c r="O479" t="s">
        <v>29</v>
      </c>
      <c r="P479" t="s">
        <v>24</v>
      </c>
      <c r="Q479" t="s">
        <v>23</v>
      </c>
      <c r="R479" t="s">
        <v>24</v>
      </c>
      <c r="S479" t="s">
        <v>29</v>
      </c>
      <c r="T479" t="str">
        <f t="shared" si="14"/>
        <v>High risk</v>
      </c>
      <c r="U479" t="str">
        <f t="shared" si="15"/>
        <v>average</v>
      </c>
    </row>
    <row r="480" spans="1:21">
      <c r="A480" t="s">
        <v>516</v>
      </c>
      <c r="B480">
        <v>40</v>
      </c>
      <c r="C480">
        <v>87474</v>
      </c>
      <c r="D480">
        <v>429</v>
      </c>
      <c r="E480">
        <v>0.79159104671313796</v>
      </c>
      <c r="F480">
        <v>2</v>
      </c>
      <c r="G480">
        <v>0</v>
      </c>
      <c r="H480">
        <v>26417</v>
      </c>
      <c r="I480">
        <v>0.27389059015374201</v>
      </c>
      <c r="J480" t="s">
        <v>34</v>
      </c>
      <c r="K480">
        <v>19</v>
      </c>
      <c r="L480" t="s">
        <v>45</v>
      </c>
      <c r="M480" t="s">
        <v>22</v>
      </c>
      <c r="N480" t="s">
        <v>29</v>
      </c>
      <c r="O480" t="s">
        <v>23</v>
      </c>
      <c r="P480" t="s">
        <v>24</v>
      </c>
      <c r="Q480" t="s">
        <v>29</v>
      </c>
      <c r="R480" t="s">
        <v>29</v>
      </c>
      <c r="S480" t="s">
        <v>29</v>
      </c>
      <c r="T480" t="str">
        <f t="shared" si="14"/>
        <v>Medium risk</v>
      </c>
      <c r="U480" t="str">
        <f t="shared" si="15"/>
        <v>average</v>
      </c>
    </row>
    <row r="481" spans="1:21">
      <c r="A481" t="s">
        <v>517</v>
      </c>
      <c r="B481">
        <v>32</v>
      </c>
      <c r="C481">
        <v>86726</v>
      </c>
      <c r="D481">
        <v>799</v>
      </c>
      <c r="E481">
        <v>0.396867193231557</v>
      </c>
      <c r="F481">
        <v>2</v>
      </c>
      <c r="G481">
        <v>0</v>
      </c>
      <c r="H481">
        <v>54622</v>
      </c>
      <c r="I481">
        <v>0.10037237351285801</v>
      </c>
      <c r="J481" t="s">
        <v>50</v>
      </c>
      <c r="K481">
        <v>14</v>
      </c>
      <c r="L481" t="s">
        <v>45</v>
      </c>
      <c r="M481" t="s">
        <v>28</v>
      </c>
      <c r="N481" t="s">
        <v>23</v>
      </c>
      <c r="O481" t="s">
        <v>29</v>
      </c>
      <c r="P481" t="s">
        <v>29</v>
      </c>
      <c r="Q481" t="s">
        <v>24</v>
      </c>
      <c r="R481" t="s">
        <v>23</v>
      </c>
      <c r="S481" t="s">
        <v>29</v>
      </c>
      <c r="T481" t="str">
        <f t="shared" si="14"/>
        <v>Medium risk</v>
      </c>
      <c r="U481" t="str">
        <f t="shared" si="15"/>
        <v>average</v>
      </c>
    </row>
    <row r="482" spans="1:21">
      <c r="A482" t="s">
        <v>518</v>
      </c>
      <c r="B482">
        <v>45</v>
      </c>
      <c r="C482">
        <v>59482</v>
      </c>
      <c r="D482">
        <v>346</v>
      </c>
      <c r="E482">
        <v>0.46025219279667501</v>
      </c>
      <c r="F482">
        <v>1</v>
      </c>
      <c r="G482">
        <v>0</v>
      </c>
      <c r="H482">
        <v>85678</v>
      </c>
      <c r="I482">
        <v>0.28789033115342</v>
      </c>
      <c r="J482" t="s">
        <v>43</v>
      </c>
      <c r="K482">
        <v>10</v>
      </c>
      <c r="L482" t="s">
        <v>37</v>
      </c>
      <c r="M482" t="s">
        <v>53</v>
      </c>
      <c r="N482" t="s">
        <v>23</v>
      </c>
      <c r="O482" t="s">
        <v>29</v>
      </c>
      <c r="P482" t="s">
        <v>29</v>
      </c>
      <c r="Q482" t="s">
        <v>24</v>
      </c>
      <c r="R482" t="s">
        <v>29</v>
      </c>
      <c r="S482" t="s">
        <v>23</v>
      </c>
      <c r="T482" t="str">
        <f t="shared" si="14"/>
        <v>low risk</v>
      </c>
      <c r="U482" t="str">
        <f t="shared" si="15"/>
        <v>average</v>
      </c>
    </row>
    <row r="483" spans="1:21">
      <c r="A483" t="s">
        <v>519</v>
      </c>
      <c r="B483">
        <v>51</v>
      </c>
      <c r="C483">
        <v>59811</v>
      </c>
      <c r="D483">
        <v>792</v>
      </c>
      <c r="E483">
        <v>0.56003111699914498</v>
      </c>
      <c r="F483">
        <v>3</v>
      </c>
      <c r="G483">
        <v>0</v>
      </c>
      <c r="I483">
        <v>0.1</v>
      </c>
      <c r="J483" t="s">
        <v>20</v>
      </c>
      <c r="K483">
        <v>11</v>
      </c>
      <c r="L483" t="s">
        <v>27</v>
      </c>
      <c r="M483" t="s">
        <v>53</v>
      </c>
      <c r="N483" t="s">
        <v>23</v>
      </c>
      <c r="O483" t="s">
        <v>23</v>
      </c>
      <c r="P483" t="s">
        <v>23</v>
      </c>
      <c r="Q483" t="s">
        <v>29</v>
      </c>
      <c r="R483" t="s">
        <v>29</v>
      </c>
      <c r="S483" t="s">
        <v>23</v>
      </c>
      <c r="T483" t="str">
        <f t="shared" si="14"/>
        <v>Medium risk</v>
      </c>
      <c r="U483" t="str">
        <f t="shared" si="15"/>
        <v>good</v>
      </c>
    </row>
    <row r="484" spans="1:21">
      <c r="A484" t="s">
        <v>520</v>
      </c>
      <c r="B484">
        <v>19</v>
      </c>
      <c r="D484">
        <v>766</v>
      </c>
      <c r="E484">
        <v>0.55644152857798601</v>
      </c>
      <c r="F484">
        <v>3</v>
      </c>
      <c r="G484">
        <v>0</v>
      </c>
      <c r="I484">
        <v>0.32713909809976899</v>
      </c>
      <c r="J484" t="s">
        <v>43</v>
      </c>
      <c r="K484">
        <v>8</v>
      </c>
      <c r="L484" t="s">
        <v>45</v>
      </c>
      <c r="M484" t="s">
        <v>28</v>
      </c>
      <c r="N484" t="s">
        <v>24</v>
      </c>
      <c r="O484" t="s">
        <v>29</v>
      </c>
      <c r="P484" t="s">
        <v>23</v>
      </c>
      <c r="Q484" t="s">
        <v>23</v>
      </c>
      <c r="R484" t="s">
        <v>24</v>
      </c>
      <c r="S484" t="s">
        <v>23</v>
      </c>
      <c r="T484" t="str">
        <f t="shared" si="14"/>
        <v>Medium risk</v>
      </c>
      <c r="U484" t="str">
        <f t="shared" si="15"/>
        <v>average</v>
      </c>
    </row>
    <row r="485" spans="1:21">
      <c r="A485" t="s">
        <v>521</v>
      </c>
      <c r="B485">
        <v>49</v>
      </c>
      <c r="C485">
        <v>147396</v>
      </c>
      <c r="D485">
        <v>401</v>
      </c>
      <c r="E485">
        <v>0.64931201913621395</v>
      </c>
      <c r="F485">
        <v>3</v>
      </c>
      <c r="G485">
        <v>0</v>
      </c>
      <c r="H485">
        <v>7468</v>
      </c>
      <c r="I485">
        <v>0.40571929989849098</v>
      </c>
      <c r="J485" t="s">
        <v>40</v>
      </c>
      <c r="K485">
        <v>12</v>
      </c>
      <c r="L485" t="s">
        <v>31</v>
      </c>
      <c r="M485" t="s">
        <v>38</v>
      </c>
      <c r="N485" t="s">
        <v>24</v>
      </c>
      <c r="O485" t="s">
        <v>29</v>
      </c>
      <c r="P485" t="s">
        <v>29</v>
      </c>
      <c r="Q485" t="s">
        <v>23</v>
      </c>
      <c r="R485" t="s">
        <v>24</v>
      </c>
      <c r="S485" t="s">
        <v>29</v>
      </c>
      <c r="T485" t="str">
        <f t="shared" si="14"/>
        <v>Medium risk</v>
      </c>
      <c r="U485" t="str">
        <f t="shared" si="15"/>
        <v>average</v>
      </c>
    </row>
    <row r="486" spans="1:21">
      <c r="A486" t="s">
        <v>522</v>
      </c>
      <c r="B486">
        <v>40</v>
      </c>
      <c r="C486">
        <v>116570</v>
      </c>
      <c r="D486">
        <v>556</v>
      </c>
      <c r="E486">
        <v>0.42413401603233403</v>
      </c>
      <c r="F486">
        <v>5</v>
      </c>
      <c r="G486">
        <v>0</v>
      </c>
      <c r="H486">
        <v>76567</v>
      </c>
      <c r="I486">
        <v>0.20137755137174801</v>
      </c>
      <c r="J486" t="s">
        <v>43</v>
      </c>
      <c r="K486">
        <v>14</v>
      </c>
      <c r="L486" t="s">
        <v>27</v>
      </c>
      <c r="M486" t="s">
        <v>53</v>
      </c>
      <c r="N486" t="s">
        <v>24</v>
      </c>
      <c r="O486" t="s">
        <v>29</v>
      </c>
      <c r="P486" t="s">
        <v>23</v>
      </c>
      <c r="Q486" t="s">
        <v>24</v>
      </c>
      <c r="R486" t="s">
        <v>29</v>
      </c>
      <c r="S486" t="s">
        <v>29</v>
      </c>
      <c r="T486" t="str">
        <f t="shared" si="14"/>
        <v>Medium risk</v>
      </c>
      <c r="U486" t="str">
        <f t="shared" si="15"/>
        <v>average</v>
      </c>
    </row>
    <row r="487" spans="1:21">
      <c r="A487" t="s">
        <v>523</v>
      </c>
      <c r="B487">
        <v>39</v>
      </c>
      <c r="C487">
        <v>39285</v>
      </c>
      <c r="D487">
        <v>567</v>
      </c>
      <c r="E487">
        <v>0.272266412305817</v>
      </c>
      <c r="F487">
        <v>6</v>
      </c>
      <c r="G487">
        <v>0</v>
      </c>
      <c r="H487">
        <v>37463</v>
      </c>
      <c r="I487">
        <v>0.44185566863918502</v>
      </c>
      <c r="J487" t="s">
        <v>20</v>
      </c>
      <c r="K487">
        <v>14</v>
      </c>
      <c r="L487" t="s">
        <v>27</v>
      </c>
      <c r="M487" t="s">
        <v>32</v>
      </c>
      <c r="N487" t="s">
        <v>24</v>
      </c>
      <c r="O487" t="s">
        <v>24</v>
      </c>
      <c r="P487" t="s">
        <v>29</v>
      </c>
      <c r="Q487" t="s">
        <v>23</v>
      </c>
      <c r="R487" t="s">
        <v>24</v>
      </c>
      <c r="S487" t="s">
        <v>23</v>
      </c>
      <c r="T487" t="str">
        <f t="shared" si="14"/>
        <v>Medium risk</v>
      </c>
      <c r="U487" t="str">
        <f t="shared" si="15"/>
        <v>poor</v>
      </c>
    </row>
    <row r="488" spans="1:21">
      <c r="A488" t="s">
        <v>524</v>
      </c>
      <c r="B488">
        <v>68</v>
      </c>
      <c r="C488">
        <v>43732</v>
      </c>
      <c r="D488">
        <v>524</v>
      </c>
      <c r="E488">
        <v>0.23726693820553599</v>
      </c>
      <c r="F488">
        <v>6</v>
      </c>
      <c r="G488">
        <v>0</v>
      </c>
      <c r="H488">
        <v>53553</v>
      </c>
      <c r="I488">
        <v>0.38428312447284302</v>
      </c>
      <c r="J488" t="s">
        <v>50</v>
      </c>
      <c r="K488">
        <v>4</v>
      </c>
      <c r="L488" t="s">
        <v>45</v>
      </c>
      <c r="M488" t="s">
        <v>53</v>
      </c>
      <c r="N488" t="s">
        <v>29</v>
      </c>
      <c r="O488" t="s">
        <v>23</v>
      </c>
      <c r="P488" t="s">
        <v>29</v>
      </c>
      <c r="Q488" t="s">
        <v>29</v>
      </c>
      <c r="R488" t="s">
        <v>29</v>
      </c>
      <c r="S488" t="s">
        <v>29</v>
      </c>
      <c r="T488" t="str">
        <f t="shared" si="14"/>
        <v>Medium risk</v>
      </c>
      <c r="U488" t="str">
        <f t="shared" si="15"/>
        <v>good</v>
      </c>
    </row>
    <row r="489" spans="1:21">
      <c r="A489" t="s">
        <v>525</v>
      </c>
      <c r="B489">
        <v>42</v>
      </c>
      <c r="C489">
        <v>188420</v>
      </c>
      <c r="D489">
        <v>550</v>
      </c>
      <c r="E489">
        <v>0.38414895343143002</v>
      </c>
      <c r="F489">
        <v>1</v>
      </c>
      <c r="G489">
        <v>0</v>
      </c>
      <c r="H489">
        <v>86846</v>
      </c>
      <c r="I489">
        <v>0.42064801554150499</v>
      </c>
      <c r="J489" t="s">
        <v>34</v>
      </c>
      <c r="K489">
        <v>18</v>
      </c>
      <c r="L489" t="s">
        <v>31</v>
      </c>
      <c r="M489" t="s">
        <v>38</v>
      </c>
      <c r="N489" t="s">
        <v>29</v>
      </c>
      <c r="O489" t="s">
        <v>24</v>
      </c>
      <c r="P489" t="s">
        <v>23</v>
      </c>
      <c r="Q489" t="s">
        <v>24</v>
      </c>
      <c r="R489" t="s">
        <v>24</v>
      </c>
      <c r="S489" t="s">
        <v>29</v>
      </c>
      <c r="T489" t="str">
        <f t="shared" si="14"/>
        <v>low risk</v>
      </c>
      <c r="U489" t="str">
        <f t="shared" si="15"/>
        <v>poor</v>
      </c>
    </row>
    <row r="490" spans="1:21">
      <c r="A490" t="s">
        <v>526</v>
      </c>
      <c r="B490">
        <v>39</v>
      </c>
      <c r="C490">
        <v>115497</v>
      </c>
      <c r="D490">
        <v>665</v>
      </c>
      <c r="E490">
        <v>0.30962990506507498</v>
      </c>
      <c r="F490">
        <v>3</v>
      </c>
      <c r="G490">
        <v>0</v>
      </c>
      <c r="H490">
        <v>64110</v>
      </c>
      <c r="I490">
        <v>0.31895638564346301</v>
      </c>
      <c r="J490" t="s">
        <v>26</v>
      </c>
      <c r="K490">
        <v>19</v>
      </c>
      <c r="L490" t="s">
        <v>37</v>
      </c>
      <c r="M490" t="s">
        <v>38</v>
      </c>
      <c r="N490" t="s">
        <v>23</v>
      </c>
      <c r="O490" t="s">
        <v>24</v>
      </c>
      <c r="P490" t="s">
        <v>23</v>
      </c>
      <c r="Q490" t="s">
        <v>29</v>
      </c>
      <c r="R490" t="s">
        <v>29</v>
      </c>
      <c r="S490" t="s">
        <v>24</v>
      </c>
      <c r="T490" t="str">
        <f t="shared" si="14"/>
        <v>Medium risk</v>
      </c>
      <c r="U490" t="str">
        <f t="shared" si="15"/>
        <v>average</v>
      </c>
    </row>
    <row r="491" spans="1:21">
      <c r="A491" t="s">
        <v>527</v>
      </c>
      <c r="B491">
        <v>39</v>
      </c>
      <c r="C491">
        <v>153877</v>
      </c>
      <c r="D491">
        <v>618</v>
      </c>
      <c r="E491">
        <v>0.43927665893844797</v>
      </c>
      <c r="F491">
        <v>5</v>
      </c>
      <c r="G491">
        <v>0</v>
      </c>
      <c r="H491">
        <v>36029</v>
      </c>
      <c r="I491">
        <v>0.200723482424817</v>
      </c>
      <c r="J491" t="s">
        <v>43</v>
      </c>
      <c r="K491">
        <v>13</v>
      </c>
      <c r="L491" t="s">
        <v>45</v>
      </c>
      <c r="M491" t="s">
        <v>22</v>
      </c>
      <c r="N491" t="s">
        <v>29</v>
      </c>
      <c r="O491" t="s">
        <v>24</v>
      </c>
      <c r="P491" t="s">
        <v>29</v>
      </c>
      <c r="Q491" t="s">
        <v>29</v>
      </c>
      <c r="R491" t="s">
        <v>23</v>
      </c>
      <c r="S491" t="s">
        <v>29</v>
      </c>
      <c r="T491" t="str">
        <f t="shared" si="14"/>
        <v>Medium risk</v>
      </c>
      <c r="U491" t="str">
        <f t="shared" si="15"/>
        <v>average</v>
      </c>
    </row>
    <row r="492" spans="1:21">
      <c r="A492" t="s">
        <v>528</v>
      </c>
      <c r="B492">
        <v>66</v>
      </c>
      <c r="C492">
        <v>54954</v>
      </c>
      <c r="D492">
        <v>825</v>
      </c>
      <c r="E492">
        <v>0.76151576215199601</v>
      </c>
      <c r="F492">
        <v>2</v>
      </c>
      <c r="G492">
        <v>0</v>
      </c>
      <c r="H492">
        <v>77743</v>
      </c>
      <c r="I492">
        <v>0.37808154278141298</v>
      </c>
      <c r="J492" t="s">
        <v>26</v>
      </c>
      <c r="K492">
        <v>16</v>
      </c>
      <c r="L492" t="s">
        <v>31</v>
      </c>
      <c r="M492" t="s">
        <v>32</v>
      </c>
      <c r="N492" t="s">
        <v>23</v>
      </c>
      <c r="O492" t="s">
        <v>24</v>
      </c>
      <c r="P492" t="s">
        <v>29</v>
      </c>
      <c r="Q492" t="s">
        <v>29</v>
      </c>
      <c r="R492" t="s">
        <v>24</v>
      </c>
      <c r="S492" t="s">
        <v>29</v>
      </c>
      <c r="T492" t="str">
        <f t="shared" si="14"/>
        <v>Medium risk</v>
      </c>
      <c r="U492" t="str">
        <f t="shared" si="15"/>
        <v>average</v>
      </c>
    </row>
    <row r="493" spans="1:21">
      <c r="A493" t="s">
        <v>529</v>
      </c>
      <c r="B493">
        <v>69</v>
      </c>
      <c r="C493">
        <v>177993</v>
      </c>
      <c r="D493">
        <v>818</v>
      </c>
      <c r="E493">
        <v>0.42454435882326202</v>
      </c>
      <c r="F493">
        <v>0</v>
      </c>
      <c r="G493">
        <v>0</v>
      </c>
      <c r="H493">
        <v>32630</v>
      </c>
      <c r="I493">
        <v>0.23753990932316599</v>
      </c>
      <c r="J493" t="s">
        <v>40</v>
      </c>
      <c r="K493">
        <v>17</v>
      </c>
      <c r="L493" t="s">
        <v>27</v>
      </c>
      <c r="M493" t="s">
        <v>38</v>
      </c>
      <c r="N493" t="s">
        <v>24</v>
      </c>
      <c r="O493" t="s">
        <v>24</v>
      </c>
      <c r="P493" t="s">
        <v>24</v>
      </c>
      <c r="Q493" t="s">
        <v>23</v>
      </c>
      <c r="R493" t="s">
        <v>23</v>
      </c>
      <c r="S493" t="s">
        <v>29</v>
      </c>
      <c r="T493" t="str">
        <f t="shared" si="14"/>
        <v>low risk</v>
      </c>
      <c r="U493" t="str">
        <f t="shared" si="15"/>
        <v>poor</v>
      </c>
    </row>
    <row r="494" spans="1:21">
      <c r="A494" t="s">
        <v>530</v>
      </c>
      <c r="B494">
        <v>59</v>
      </c>
      <c r="C494">
        <v>191517</v>
      </c>
      <c r="D494">
        <v>813</v>
      </c>
      <c r="E494">
        <v>0.424469827733088</v>
      </c>
      <c r="F494">
        <v>5</v>
      </c>
      <c r="G494">
        <v>0</v>
      </c>
      <c r="H494">
        <v>23047</v>
      </c>
      <c r="I494">
        <v>0.311788450610335</v>
      </c>
      <c r="J494" t="s">
        <v>34</v>
      </c>
      <c r="K494">
        <v>2</v>
      </c>
      <c r="L494" t="s">
        <v>31</v>
      </c>
      <c r="M494" t="s">
        <v>28</v>
      </c>
      <c r="N494" t="s">
        <v>24</v>
      </c>
      <c r="O494" t="s">
        <v>24</v>
      </c>
      <c r="P494" t="s">
        <v>23</v>
      </c>
      <c r="Q494" t="s">
        <v>23</v>
      </c>
      <c r="R494" t="s">
        <v>29</v>
      </c>
      <c r="S494" t="s">
        <v>23</v>
      </c>
      <c r="T494" t="str">
        <f t="shared" si="14"/>
        <v>Medium risk</v>
      </c>
      <c r="U494" t="str">
        <f t="shared" si="15"/>
        <v>average</v>
      </c>
    </row>
    <row r="495" spans="1:21">
      <c r="A495" t="s">
        <v>531</v>
      </c>
      <c r="B495">
        <v>23</v>
      </c>
      <c r="C495">
        <v>168487</v>
      </c>
      <c r="D495">
        <v>306</v>
      </c>
      <c r="E495">
        <v>0.49672024474884202</v>
      </c>
      <c r="F495">
        <v>6</v>
      </c>
      <c r="G495">
        <v>0</v>
      </c>
      <c r="H495">
        <v>5539</v>
      </c>
      <c r="I495">
        <v>0.28286490071963799</v>
      </c>
      <c r="J495" t="s">
        <v>34</v>
      </c>
      <c r="K495">
        <v>1</v>
      </c>
      <c r="L495" t="s">
        <v>27</v>
      </c>
      <c r="M495" t="s">
        <v>32</v>
      </c>
      <c r="N495" t="s">
        <v>24</v>
      </c>
      <c r="O495" t="s">
        <v>29</v>
      </c>
      <c r="P495" t="s">
        <v>29</v>
      </c>
      <c r="Q495" t="s">
        <v>29</v>
      </c>
      <c r="R495" t="s">
        <v>24</v>
      </c>
      <c r="S495" t="s">
        <v>29</v>
      </c>
      <c r="T495" t="str">
        <f t="shared" si="14"/>
        <v>Medium risk</v>
      </c>
      <c r="U495" t="str">
        <f t="shared" si="15"/>
        <v>average</v>
      </c>
    </row>
    <row r="496" spans="1:21">
      <c r="A496" t="s">
        <v>532</v>
      </c>
      <c r="B496">
        <v>32</v>
      </c>
      <c r="D496">
        <v>811</v>
      </c>
      <c r="E496">
        <v>0.41887500175758602</v>
      </c>
      <c r="F496">
        <v>6</v>
      </c>
      <c r="G496">
        <v>1</v>
      </c>
      <c r="H496">
        <v>16699</v>
      </c>
      <c r="I496">
        <v>0.412469585679689</v>
      </c>
      <c r="J496" t="s">
        <v>43</v>
      </c>
      <c r="K496">
        <v>0</v>
      </c>
      <c r="L496" t="s">
        <v>45</v>
      </c>
      <c r="M496" t="s">
        <v>32</v>
      </c>
      <c r="N496" t="s">
        <v>23</v>
      </c>
      <c r="O496" t="s">
        <v>23</v>
      </c>
      <c r="P496" t="s">
        <v>23</v>
      </c>
      <c r="Q496" t="s">
        <v>29</v>
      </c>
      <c r="R496" t="s">
        <v>29</v>
      </c>
      <c r="S496" t="s">
        <v>29</v>
      </c>
      <c r="T496" t="str">
        <f t="shared" si="14"/>
        <v>High risk</v>
      </c>
      <c r="U496" t="str">
        <f t="shared" si="15"/>
        <v>good</v>
      </c>
    </row>
    <row r="497" spans="1:21">
      <c r="A497" t="s">
        <v>533</v>
      </c>
      <c r="B497">
        <v>71</v>
      </c>
      <c r="C497">
        <v>48307</v>
      </c>
      <c r="D497">
        <v>688</v>
      </c>
      <c r="E497">
        <v>0.48652175285636101</v>
      </c>
      <c r="F497">
        <v>2</v>
      </c>
      <c r="G497">
        <v>0</v>
      </c>
      <c r="H497">
        <v>12707</v>
      </c>
      <c r="I497">
        <v>0.37303270059233201</v>
      </c>
      <c r="J497" t="s">
        <v>50</v>
      </c>
      <c r="K497">
        <v>9</v>
      </c>
      <c r="L497" t="s">
        <v>45</v>
      </c>
      <c r="M497" t="s">
        <v>28</v>
      </c>
      <c r="N497" t="s">
        <v>29</v>
      </c>
      <c r="O497" t="s">
        <v>29</v>
      </c>
      <c r="P497" t="s">
        <v>24</v>
      </c>
      <c r="Q497" t="s">
        <v>29</v>
      </c>
      <c r="R497" t="s">
        <v>29</v>
      </c>
      <c r="S497" t="s">
        <v>23</v>
      </c>
      <c r="T497" t="str">
        <f t="shared" si="14"/>
        <v>Medium risk</v>
      </c>
      <c r="U497" t="str">
        <f t="shared" si="15"/>
        <v>average</v>
      </c>
    </row>
    <row r="498" spans="1:21">
      <c r="A498" t="s">
        <v>534</v>
      </c>
      <c r="B498">
        <v>60</v>
      </c>
      <c r="C498">
        <v>86180</v>
      </c>
      <c r="D498">
        <v>836</v>
      </c>
      <c r="E498">
        <v>0.60817384449626899</v>
      </c>
      <c r="F498">
        <v>2</v>
      </c>
      <c r="G498">
        <v>1</v>
      </c>
      <c r="H498">
        <v>45595</v>
      </c>
      <c r="I498">
        <v>0.29194342016876201</v>
      </c>
      <c r="J498" t="s">
        <v>34</v>
      </c>
      <c r="K498">
        <v>18</v>
      </c>
      <c r="L498" t="s">
        <v>21</v>
      </c>
      <c r="M498" t="s">
        <v>53</v>
      </c>
      <c r="N498" t="s">
        <v>29</v>
      </c>
      <c r="O498" t="s">
        <v>29</v>
      </c>
      <c r="P498" t="s">
        <v>23</v>
      </c>
      <c r="Q498" t="s">
        <v>23</v>
      </c>
      <c r="R498" t="s">
        <v>23</v>
      </c>
      <c r="S498" t="s">
        <v>24</v>
      </c>
      <c r="T498" t="str">
        <f t="shared" si="14"/>
        <v>High risk</v>
      </c>
      <c r="U498" t="str">
        <f t="shared" si="15"/>
        <v>average</v>
      </c>
    </row>
    <row r="499" spans="1:21">
      <c r="A499" t="s">
        <v>535</v>
      </c>
      <c r="B499">
        <v>54</v>
      </c>
      <c r="C499">
        <v>152326</v>
      </c>
      <c r="D499">
        <v>847</v>
      </c>
      <c r="E499">
        <v>0.67695021095266195</v>
      </c>
      <c r="F499">
        <v>0</v>
      </c>
      <c r="G499">
        <v>0</v>
      </c>
      <c r="H499">
        <v>44449</v>
      </c>
      <c r="I499">
        <v>0.104839280645984</v>
      </c>
      <c r="J499" t="s">
        <v>43</v>
      </c>
      <c r="K499">
        <v>16</v>
      </c>
      <c r="L499" t="s">
        <v>21</v>
      </c>
      <c r="M499" t="s">
        <v>28</v>
      </c>
      <c r="N499" t="s">
        <v>29</v>
      </c>
      <c r="O499" t="s">
        <v>23</v>
      </c>
      <c r="P499" t="s">
        <v>23</v>
      </c>
      <c r="Q499" t="s">
        <v>29</v>
      </c>
      <c r="R499" t="s">
        <v>23</v>
      </c>
      <c r="S499" t="s">
        <v>24</v>
      </c>
      <c r="T499" t="str">
        <f t="shared" si="14"/>
        <v>low risk</v>
      </c>
      <c r="U499" t="str">
        <f t="shared" si="15"/>
        <v>average</v>
      </c>
    </row>
    <row r="500" spans="1:21">
      <c r="A500" t="s">
        <v>536</v>
      </c>
      <c r="B500">
        <v>50</v>
      </c>
      <c r="C500">
        <v>105852</v>
      </c>
      <c r="D500">
        <v>343</v>
      </c>
      <c r="E500">
        <v>0.70064263994780396</v>
      </c>
      <c r="F500">
        <v>2</v>
      </c>
      <c r="G500">
        <v>1</v>
      </c>
      <c r="H500">
        <v>11155</v>
      </c>
      <c r="I500">
        <v>0.236477253347079</v>
      </c>
      <c r="J500" t="s">
        <v>43</v>
      </c>
      <c r="K500">
        <v>11</v>
      </c>
      <c r="L500" t="s">
        <v>21</v>
      </c>
      <c r="M500" t="s">
        <v>28</v>
      </c>
      <c r="N500" t="s">
        <v>23</v>
      </c>
      <c r="O500" t="s">
        <v>29</v>
      </c>
      <c r="P500" t="s">
        <v>23</v>
      </c>
      <c r="Q500" t="s">
        <v>24</v>
      </c>
      <c r="R500" t="s">
        <v>29</v>
      </c>
      <c r="S500" t="s">
        <v>24</v>
      </c>
      <c r="T500" t="str">
        <f t="shared" si="14"/>
        <v>High risk</v>
      </c>
      <c r="U500" t="str">
        <f t="shared" si="15"/>
        <v>average</v>
      </c>
    </row>
    <row r="501" spans="1:21">
      <c r="A501" t="s">
        <v>537</v>
      </c>
      <c r="B501">
        <v>25</v>
      </c>
      <c r="C501">
        <v>40945</v>
      </c>
      <c r="D501">
        <v>442</v>
      </c>
      <c r="E501">
        <v>0.91137044414620405</v>
      </c>
      <c r="F501">
        <v>1</v>
      </c>
      <c r="G501">
        <v>0</v>
      </c>
      <c r="H501">
        <v>36968</v>
      </c>
      <c r="I501">
        <v>0.37042222894844101</v>
      </c>
      <c r="J501" t="s">
        <v>26</v>
      </c>
      <c r="K501">
        <v>0</v>
      </c>
      <c r="L501" t="s">
        <v>45</v>
      </c>
      <c r="M501" t="s">
        <v>53</v>
      </c>
      <c r="N501" t="s">
        <v>24</v>
      </c>
      <c r="O501" t="s">
        <v>23</v>
      </c>
      <c r="P501" t="s">
        <v>23</v>
      </c>
      <c r="Q501" t="s">
        <v>29</v>
      </c>
      <c r="R501" t="s">
        <v>23</v>
      </c>
      <c r="S501" t="s">
        <v>29</v>
      </c>
      <c r="T501" t="str">
        <f t="shared" si="14"/>
        <v>low risk</v>
      </c>
      <c r="U501" t="str">
        <f t="shared" si="15"/>
        <v>average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Delinquency_prediction_dataset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Tran, Tammy</dc:creator>
  <cp:lastModifiedBy>asus</cp:lastModifiedBy>
  <dcterms:created xsi:type="dcterms:W3CDTF">2025-03-20T10:37:19Z</dcterms:created>
  <dcterms:modified xsi:type="dcterms:W3CDTF">2026-03-31T10:28:06Z</dcterms:modified>
</cp:coreProperties>
</file>